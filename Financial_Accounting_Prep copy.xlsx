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zezhandon/Downloads/"/>
    </mc:Choice>
  </mc:AlternateContent>
  <xr:revisionPtr revIDLastSave="0" documentId="13_ncr:1_{86D12AFE-FE27-BE44-A3D1-FF45CAF29A10}" xr6:coauthVersionLast="47" xr6:coauthVersionMax="47" xr10:uidLastSave="{00000000-0000-0000-0000-000000000000}"/>
  <bookViews>
    <workbookView xWindow="0" yWindow="700" windowWidth="27040" windowHeight="15620" firstSheet="7" activeTab="12" xr2:uid="{00000000-000D-0000-FFFF-FFFF00000000}"/>
  </bookViews>
  <sheets>
    <sheet name="Transaction Log" sheetId="3" r:id="rId1"/>
    <sheet name="Journal Entries" sheetId="4" r:id="rId2"/>
    <sheet name="T-Accounts (Pre-Adj)" sheetId="5" r:id="rId3"/>
    <sheet name="T-Accounts (Post-Adj)" sheetId="6" r:id="rId4"/>
    <sheet name="Trial Balance (Pre-Adj)" sheetId="7" r:id="rId5"/>
    <sheet name="Trial Balance (Post-Adj)" sheetId="8" r:id="rId6"/>
    <sheet name="Adjusting Entries Summary" sheetId="9" r:id="rId7"/>
    <sheet name="Classified Trial Balance" sheetId="10" r:id="rId8"/>
    <sheet name="Income Statement" sheetId="11" r:id="rId9"/>
    <sheet name="Statement of Retained Earnings" sheetId="12" r:id="rId10"/>
    <sheet name="Classified Balance Sheet" sheetId="13" r:id="rId11"/>
    <sheet name="Post-Closing Trial Balance" sheetId="14" r:id="rId12"/>
    <sheet name="Final Balance Sheet (After Clos" sheetId="15" r:id="rId13"/>
    <sheet name="CHECKS" sheetId="1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4" l="1"/>
  <c r="B26" i="15"/>
  <c r="B17" i="15"/>
  <c r="B11" i="15"/>
  <c r="B39" i="15"/>
  <c r="B37" i="15"/>
  <c r="C14" i="14"/>
  <c r="C20" i="8"/>
  <c r="B20" i="8"/>
  <c r="C21" i="7"/>
  <c r="B21" i="7"/>
</calcChain>
</file>

<file path=xl/sharedStrings.xml><?xml version="1.0" encoding="utf-8"?>
<sst xmlns="http://schemas.openxmlformats.org/spreadsheetml/2006/main" count="846" uniqueCount="243">
  <si>
    <t>Trial Balance (Pre-Adj) Debits</t>
  </si>
  <si>
    <t>Trial Balance (Pre-Adj) Credits</t>
  </si>
  <si>
    <t>TB Pre balanced?</t>
  </si>
  <si>
    <t>Trial Balance (Post-Adj) Debits</t>
  </si>
  <si>
    <t>Trial Balance (Post-Adj) Credits</t>
  </si>
  <si>
    <t>TB Post balanced?</t>
  </si>
  <si>
    <t>Balance Sheet Total Assets</t>
  </si>
  <si>
    <t>Balance Sheet Total L + SE</t>
  </si>
  <si>
    <t>BS balanced?</t>
  </si>
  <si>
    <t>RE rollforward correct?</t>
  </si>
  <si>
    <t>Txn #</t>
  </si>
  <si>
    <t>Date</t>
  </si>
  <si>
    <t>What Happened</t>
  </si>
  <si>
    <t>Cash?</t>
  </si>
  <si>
    <t>Amount(s)</t>
  </si>
  <si>
    <t>Category (primary)</t>
  </si>
  <si>
    <t>Accrual Flag</t>
  </si>
  <si>
    <t>Inventory/FIFO Flag</t>
  </si>
  <si>
    <t>Notes / Accounts Hints</t>
  </si>
  <si>
    <t>2025-10-01</t>
  </si>
  <si>
    <t>Purchased equipment, land, and building for $900,000 via long-term note payable.</t>
  </si>
  <si>
    <t>N</t>
  </si>
  <si>
    <t>Seller</t>
  </si>
  <si>
    <t>Assets + LT Liability</t>
  </si>
  <si>
    <t>Note Payable</t>
  </si>
  <si>
    <t>Allocate lump sum by FV</t>
  </si>
  <si>
    <t>Paid accrued real estate taxes on land in cash.</t>
  </si>
  <si>
    <t>Y</t>
  </si>
  <si>
    <t>Tax Authority</t>
  </si>
  <si>
    <t>Asset (Land)</t>
  </si>
  <si>
    <t>Capitalize to land</t>
  </si>
  <si>
    <t>Paid building renovation costs prior to use.</t>
  </si>
  <si>
    <t>Contractor</t>
  </si>
  <si>
    <t>Asset (Building)</t>
  </si>
  <si>
    <t>Capitalized</t>
  </si>
  <si>
    <t>Not expensed until ready</t>
  </si>
  <si>
    <t>Paid prepaid building dedication ceremony in cash.</t>
  </si>
  <si>
    <t>Vendor</t>
  </si>
  <si>
    <t>Prepaid Expense</t>
  </si>
  <si>
    <t>Prepaid</t>
  </si>
  <si>
    <t>Expense when ceremony occurs</t>
  </si>
  <si>
    <t>2025-10-15</t>
  </si>
  <si>
    <t>Collected cash from customers on account.</t>
  </si>
  <si>
    <t>Customers</t>
  </si>
  <si>
    <t>Asset Swap</t>
  </si>
  <si>
    <t>A/R Collection</t>
  </si>
  <si>
    <t>Cash ↑, A/R ↓</t>
  </si>
  <si>
    <t>2025-10-30</t>
  </si>
  <si>
    <t>Sold 1,200 units on account; terms 2/10, n/60.</t>
  </si>
  <si>
    <t>Revenue</t>
  </si>
  <si>
    <t>A/R</t>
  </si>
  <si>
    <t>Yes</t>
  </si>
  <si>
    <t>Record COGS via FIFO</t>
  </si>
  <si>
    <t>2025-11-05</t>
  </si>
  <si>
    <t>Customer returned 100 units; remaining balance paid in full.</t>
  </si>
  <si>
    <t>Y/N</t>
  </si>
  <si>
    <t>Customer</t>
  </si>
  <si>
    <t>Contra Revenue</t>
  </si>
  <si>
    <t>Sales Return</t>
  </si>
  <si>
    <t>Reverse COGS + possible discount</t>
  </si>
  <si>
    <t>2025-11-07</t>
  </si>
  <si>
    <t>Purchased 1,500 units @ $9.50 on account.</t>
  </si>
  <si>
    <t>Supplier</t>
  </si>
  <si>
    <t>Inventory</t>
  </si>
  <si>
    <t>A/P</t>
  </si>
  <si>
    <t>New FIFO layer</t>
  </si>
  <si>
    <t>2025-11-09</t>
  </si>
  <si>
    <t>Sold 1,100 units on account; terms n/60.</t>
  </si>
  <si>
    <t>FIFO COGS</t>
  </si>
  <si>
    <t>2025-12-15</t>
  </si>
  <si>
    <t>Wrote off customer A/R balance.</t>
  </si>
  <si>
    <t>A/R Valuation</t>
  </si>
  <si>
    <t>Bad Debt Write-off</t>
  </si>
  <si>
    <t>Allowance method</t>
  </si>
  <si>
    <t>2025-12-29</t>
  </si>
  <si>
    <t>Collected cash from account written off in prior years.</t>
  </si>
  <si>
    <t>A/R Recovery</t>
  </si>
  <si>
    <t>Recovery</t>
  </si>
  <si>
    <t>Reinstate then collect</t>
  </si>
  <si>
    <t>2025-12-31</t>
  </si>
  <si>
    <t>Sold machine for cash; no 2025 depreciation recorded.</t>
  </si>
  <si>
    <t>Buyer</t>
  </si>
  <si>
    <t>Asset Disposal</t>
  </si>
  <si>
    <t>Depreciation Adj</t>
  </si>
  <si>
    <t>Record dep before sale</t>
  </si>
  <si>
    <t>Year-end NRV assessment for remaining inventory.</t>
  </si>
  <si>
    <t>Inventory Valuation</t>
  </si>
  <si>
    <t>LCNRV Review</t>
  </si>
  <si>
    <t>Adjust only if cost &gt; NRV</t>
  </si>
  <si>
    <t>JE #</t>
  </si>
  <si>
    <t>Account</t>
  </si>
  <si>
    <t>Debit</t>
  </si>
  <si>
    <t>Credit</t>
  </si>
  <si>
    <t>Explanation</t>
  </si>
  <si>
    <t>JE-1</t>
  </si>
  <si>
    <t>Equipment</t>
  </si>
  <si>
    <t>Lump-sum asset purchase</t>
  </si>
  <si>
    <t>Land</t>
  </si>
  <si>
    <t>Building</t>
  </si>
  <si>
    <t>Notes Payable</t>
  </si>
  <si>
    <t>JE-2</t>
  </si>
  <si>
    <t>Real estate taxes capitalized</t>
  </si>
  <si>
    <t>Cash</t>
  </si>
  <si>
    <t>Real estate taxes paid</t>
  </si>
  <si>
    <t>JE-3</t>
  </si>
  <si>
    <t>Renovation capitalized</t>
  </si>
  <si>
    <t>Renovation payment</t>
  </si>
  <si>
    <t>JE-4</t>
  </si>
  <si>
    <t>Dedication ceremony prepaid</t>
  </si>
  <si>
    <t>JE-5</t>
  </si>
  <si>
    <t>Collected A/R</t>
  </si>
  <si>
    <t>Accounts Receivable</t>
  </si>
  <si>
    <t>JE-6</t>
  </si>
  <si>
    <t>Sale on account</t>
  </si>
  <si>
    <t>Sales Revenue</t>
  </si>
  <si>
    <t>Cost of Goods Sold</t>
  </si>
  <si>
    <t>Merchandise Inventory</t>
  </si>
  <si>
    <t>JE-7</t>
  </si>
  <si>
    <t>Sales Returns &amp; Allowances</t>
  </si>
  <si>
    <t>Customer return</t>
  </si>
  <si>
    <t>Reverse COGS</t>
  </si>
  <si>
    <t>Collection with discount</t>
  </si>
  <si>
    <t>Sales Discounts</t>
  </si>
  <si>
    <t>JE-8</t>
  </si>
  <si>
    <t>Inventory purchase</t>
  </si>
  <si>
    <t>Accounts Payable</t>
  </si>
  <si>
    <t>JE-9</t>
  </si>
  <si>
    <t>JE-10</t>
  </si>
  <si>
    <t>Allowance for Doubtful Accounts</t>
  </si>
  <si>
    <t>Write-off</t>
  </si>
  <si>
    <t>JE-11</t>
  </si>
  <si>
    <t>Reinstate receivable</t>
  </si>
  <si>
    <t>Cash recovery</t>
  </si>
  <si>
    <t>JE-12</t>
  </si>
  <si>
    <t>Depreciation Expense</t>
  </si>
  <si>
    <t>2025 depreciation</t>
  </si>
  <si>
    <t>Accumulated Depreciation—Machine</t>
  </si>
  <si>
    <t>JE-13</t>
  </si>
  <si>
    <t>Sale of machine</t>
  </si>
  <si>
    <t>Machine</t>
  </si>
  <si>
    <t>Gain on Sale of Machine</t>
  </si>
  <si>
    <t>Debit Description</t>
  </si>
  <si>
    <t>Debit Amount</t>
  </si>
  <si>
    <t>Credit Description</t>
  </si>
  <si>
    <t>Credit Amount</t>
  </si>
  <si>
    <t>Debits</t>
  </si>
  <si>
    <t>Credits</t>
  </si>
  <si>
    <t>Beg bal</t>
  </si>
  <si>
    <t>JE-2 2025-10-01</t>
  </si>
  <si>
    <t>JE-5 2025-10-15</t>
  </si>
  <si>
    <t>JE-3 2025-10-01</t>
  </si>
  <si>
    <t>JE-7 2025-11-05</t>
  </si>
  <si>
    <t>JE-4 2025-10-01</t>
  </si>
  <si>
    <t>JE-11 2025-12-29</t>
  </si>
  <si>
    <t>JE-13 2025-12-31</t>
  </si>
  <si>
    <t>Total</t>
  </si>
  <si>
    <t>Ending balance (Dr)</t>
  </si>
  <si>
    <t>JE-6 2025-10-30</t>
  </si>
  <si>
    <t>JE-9 2025-11-09</t>
  </si>
  <si>
    <t>JE-10 2025-12-15</t>
  </si>
  <si>
    <t>Ending balance (Cr)</t>
  </si>
  <si>
    <t>JE-8 2025-11-07</t>
  </si>
  <si>
    <t>JE-1 2025-10-01</t>
  </si>
  <si>
    <t>Ending balance</t>
  </si>
  <si>
    <t>Accumulated Depreciation - Machine</t>
  </si>
  <si>
    <t>Common Shares</t>
  </si>
  <si>
    <t>Retained Earnings</t>
  </si>
  <si>
    <t>Sales</t>
  </si>
  <si>
    <t>Accumulated Depreciation-Machine</t>
  </si>
  <si>
    <t>JE-12 2025-12-31</t>
  </si>
  <si>
    <t>TOTAL</t>
  </si>
  <si>
    <t>Why it’s Adjusting</t>
  </si>
  <si>
    <t>Effect on Financials</t>
  </si>
  <si>
    <t>Year-end adjusting entry to recognize 2025 depreciation that was not recorded during the year.</t>
  </si>
  <si>
    <t>Increases expenses (Depreciation Expense) and increases contra-asset (Accumulated Depreciation), reducing net income and carrying value.</t>
  </si>
  <si>
    <t>Pre-Adj Balance (Dr)</t>
  </si>
  <si>
    <t>Pre-Adj Balance (Cr)</t>
  </si>
  <si>
    <t>Post-Adj Balance (Dr)</t>
  </si>
  <si>
    <t>Post-Adj Balance (Cr)</t>
  </si>
  <si>
    <t>Δ Debit</t>
  </si>
  <si>
    <t>Δ Credit</t>
  </si>
  <si>
    <t>Category</t>
  </si>
  <si>
    <t>Assets — Current</t>
  </si>
  <si>
    <t>Assets — Long-Term</t>
  </si>
  <si>
    <t>Income Statement (Not on BS)</t>
  </si>
  <si>
    <t>Liabilities — Current</t>
  </si>
  <si>
    <t>Liabilities — Long-Term</t>
  </si>
  <si>
    <t>Other</t>
  </si>
  <si>
    <t>Shareholders’ Equity</t>
  </si>
  <si>
    <t>Income Statement</t>
  </si>
  <si>
    <t>Year Ended December 31, 2025</t>
  </si>
  <si>
    <t>Description</t>
  </si>
  <si>
    <t>Amount</t>
  </si>
  <si>
    <t xml:space="preserve">  Sales</t>
  </si>
  <si>
    <t xml:space="preserve">  Less: Sales Returns &amp; Allowances</t>
  </si>
  <si>
    <t xml:space="preserve">  Less: Sales Discounts</t>
  </si>
  <si>
    <t>Net Sales</t>
  </si>
  <si>
    <t>Expenses</t>
  </si>
  <si>
    <t xml:space="preserve">  Cost of Goods Sold</t>
  </si>
  <si>
    <t xml:space="preserve">  Depreciation Expense</t>
  </si>
  <si>
    <t>Total Expenses</t>
  </si>
  <si>
    <t>Other Income</t>
  </si>
  <si>
    <t xml:space="preserve">  Gain on Sale of Machine</t>
  </si>
  <si>
    <t>Net Income</t>
  </si>
  <si>
    <t>Statement of Retained Earnings</t>
  </si>
  <si>
    <t>Retained Earnings, Beginning</t>
  </si>
  <si>
    <t>Add: Net Income</t>
  </si>
  <si>
    <t>Less: Dividends</t>
  </si>
  <si>
    <t>Retained Earnings, Ending</t>
  </si>
  <si>
    <t>Classified Balance Sheet</t>
  </si>
  <si>
    <t>December 31, 2025</t>
  </si>
  <si>
    <t>Assets</t>
  </si>
  <si>
    <t>Current Assets</t>
  </si>
  <si>
    <t xml:space="preserve">  Cash</t>
  </si>
  <si>
    <t xml:space="preserve">  Accounts Receivable</t>
  </si>
  <si>
    <t xml:space="preserve">  Allowance for Doubtful Accounts</t>
  </si>
  <si>
    <t xml:space="preserve">  Merchandise Inventory</t>
  </si>
  <si>
    <t xml:space="preserve">  Prepaid Expense</t>
  </si>
  <si>
    <t>Total Current Assets</t>
  </si>
  <si>
    <t>Long-Term Assets</t>
  </si>
  <si>
    <t xml:space="preserve">  Equipment</t>
  </si>
  <si>
    <t xml:space="preserve">  Land</t>
  </si>
  <si>
    <t xml:space="preserve">  Building</t>
  </si>
  <si>
    <t>Total Long-Term Assets</t>
  </si>
  <si>
    <t>Total Assets</t>
  </si>
  <si>
    <t>Liabilities and Shareholders’ Equity</t>
  </si>
  <si>
    <t>Liabilities</t>
  </si>
  <si>
    <t>Current Liabilities</t>
  </si>
  <si>
    <t xml:space="preserve">  Accounts Payable</t>
  </si>
  <si>
    <t>Total Current Liabilities</t>
  </si>
  <si>
    <t>Long-Term Liabilities</t>
  </si>
  <si>
    <t xml:space="preserve">  Notes Payable</t>
  </si>
  <si>
    <t>Total Long-Term Liabilities</t>
  </si>
  <si>
    <t>Total Liabilities</t>
  </si>
  <si>
    <t xml:space="preserve">  Common Shares</t>
  </si>
  <si>
    <t xml:space="preserve">  Retained Earnings</t>
  </si>
  <si>
    <t xml:space="preserve">  Net Income (Current Year)</t>
  </si>
  <si>
    <t>Total Shareholders’ Equity</t>
  </si>
  <si>
    <t>Total Liabilities and Shareholders’ Equity</t>
  </si>
  <si>
    <t>Balance Sheet</t>
  </si>
  <si>
    <t>December 31, 2025 (After Closing)</t>
  </si>
  <si>
    <t>Checks / Cross-reference</t>
  </si>
  <si>
    <t>Counter-party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</si>
</sst>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\$* #,##0.00_);_(\$* \(#,##0.00\);_(\$* &quot;-&quot;??_);_(@_)"/>
  </numFmts>
  <fonts count="9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8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double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6" fillId="0" borderId="0" xfId="0" applyFont="1"/>
    <xf numFmtId="164" fontId="0" fillId="0" borderId="0" xfId="0" applyNumberFormat="1"/>
    <xf numFmtId="0" fontId="7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0" fontId="3" fillId="0" borderId="1" xfId="0" applyFont="1" applyBorder="1"/>
    <xf numFmtId="164" fontId="3" fillId="0" borderId="1" xfId="0" applyNumberFormat="1" applyFont="1" applyBorder="1"/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0" fontId="3" fillId="3" borderId="4" xfId="0" applyFont="1" applyFill="1" applyBorder="1"/>
    <xf numFmtId="164" fontId="3" fillId="3" borderId="4" xfId="0" applyNumberFormat="1" applyFont="1" applyFill="1" applyBorder="1"/>
    <xf numFmtId="0" fontId="0" fillId="0" borderId="4" xfId="0" applyBorder="1"/>
    <xf numFmtId="164" fontId="0" fillId="0" borderId="4" xfId="0" applyNumberFormat="1" applyBorder="1"/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right"/>
    </xf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left"/>
    </xf>
    <xf numFmtId="164" fontId="3" fillId="0" borderId="5" xfId="0" applyNumberFormat="1" applyFont="1" applyBorder="1" applyAlignment="1">
      <alignment horizontal="right"/>
    </xf>
    <xf numFmtId="0" fontId="4" fillId="0" borderId="1" xfId="0" applyFont="1" applyBorder="1" applyAlignment="1">
      <alignment horizontal="left"/>
    </xf>
    <xf numFmtId="164" fontId="4" fillId="0" borderId="6" xfId="0" applyNumberFormat="1" applyFont="1" applyBorder="1" applyAlignment="1">
      <alignment horizontal="right"/>
    </xf>
    <xf numFmtId="0" fontId="3" fillId="4" borderId="1" xfId="0" applyFont="1" applyFill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0" fontId="8" fillId="0" borderId="1" xfId="0" applyFont="1" applyBorder="1"/>
    <xf numFmtId="164" fontId="8" fillId="0" borderId="1" xfId="0" applyNumberFormat="1" applyFont="1" applyBorder="1" applyAlignment="1">
      <alignment horizontal="right"/>
    </xf>
    <xf numFmtId="164" fontId="3" fillId="0" borderId="6" xfId="0" applyNumberFormat="1" applyFont="1" applyBorder="1" applyAlignment="1">
      <alignment horizontal="right"/>
    </xf>
    <xf numFmtId="0" fontId="3" fillId="4" borderId="4" xfId="0" applyFont="1" applyFill="1" applyBorder="1" applyAlignment="1">
      <alignment horizontal="center"/>
    </xf>
    <xf numFmtId="0" fontId="3" fillId="4" borderId="4" xfId="0" applyFont="1" applyFill="1" applyBorder="1"/>
    <xf numFmtId="0" fontId="3" fillId="4" borderId="4" xfId="0" applyFont="1" applyFill="1" applyBorder="1" applyAlignment="1">
      <alignment horizontal="right"/>
    </xf>
    <xf numFmtId="0" fontId="8" fillId="0" borderId="4" xfId="0" applyFont="1" applyBorder="1"/>
    <xf numFmtId="164" fontId="8" fillId="0" borderId="4" xfId="0" applyNumberFormat="1" applyFont="1" applyBorder="1" applyAlignment="1">
      <alignment horizontal="right"/>
    </xf>
    <xf numFmtId="0" fontId="3" fillId="0" borderId="4" xfId="0" applyFont="1" applyBorder="1"/>
    <xf numFmtId="164" fontId="3" fillId="0" borderId="4" xfId="0" applyNumberFormat="1" applyFont="1" applyBorder="1" applyAlignment="1">
      <alignment horizontal="right"/>
    </xf>
    <xf numFmtId="0" fontId="4" fillId="3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5" fillId="3" borderId="1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3" borderId="1" xfId="0" applyFont="1" applyFill="1" applyBorder="1"/>
    <xf numFmtId="0" fontId="3" fillId="3" borderId="4" xfId="0" applyFont="1" applyFill="1" applyBorder="1"/>
    <xf numFmtId="0" fontId="0" fillId="0" borderId="7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4"/>
  <sheetViews>
    <sheetView workbookViewId="0">
      <pane ySplit="1" topLeftCell="A2" activePane="bottomLeft" state="frozen"/>
      <selection pane="bottomLeft" activeCell="L16" sqref="L16"/>
    </sheetView>
  </sheetViews>
  <sheetFormatPr baseColWidth="10" defaultColWidth="8.83203125" defaultRowHeight="15" x14ac:dyDescent="0.2"/>
  <cols>
    <col min="1" max="1" width="5" bestFit="1" customWidth="1"/>
    <col min="2" max="2" width="10.1640625" bestFit="1" customWidth="1"/>
    <col min="3" max="3" width="65" bestFit="1" customWidth="1"/>
    <col min="4" max="4" width="5.5" bestFit="1" customWidth="1"/>
    <col min="6" max="6" width="11.33203125" bestFit="1" customWidth="1"/>
    <col min="8" max="8" width="15.1640625" bestFit="1" customWidth="1"/>
    <col min="9" max="9" width="8.6640625" bestFit="1" customWidth="1"/>
    <col min="10" max="10" width="26.33203125" bestFit="1" customWidth="1"/>
  </cols>
  <sheetData>
    <row r="1" spans="1:10" ht="32" x14ac:dyDescent="0.2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10" t="s">
        <v>242</v>
      </c>
      <c r="G1" s="3" t="s">
        <v>15</v>
      </c>
      <c r="H1" s="3" t="s">
        <v>16</v>
      </c>
      <c r="I1" s="3" t="s">
        <v>17</v>
      </c>
      <c r="J1" s="3" t="s">
        <v>18</v>
      </c>
    </row>
    <row r="2" spans="1:10" x14ac:dyDescent="0.2">
      <c r="A2">
        <v>1</v>
      </c>
      <c r="B2" t="s">
        <v>19</v>
      </c>
      <c r="C2" t="s">
        <v>20</v>
      </c>
      <c r="D2" t="s">
        <v>21</v>
      </c>
      <c r="E2">
        <v>900000</v>
      </c>
      <c r="F2" t="s">
        <v>22</v>
      </c>
      <c r="G2" t="s">
        <v>23</v>
      </c>
      <c r="H2" t="s">
        <v>24</v>
      </c>
      <c r="J2" t="s">
        <v>25</v>
      </c>
    </row>
    <row r="3" spans="1:10" x14ac:dyDescent="0.2">
      <c r="A3">
        <v>2</v>
      </c>
      <c r="B3" t="s">
        <v>19</v>
      </c>
      <c r="C3" t="s">
        <v>26</v>
      </c>
      <c r="D3" t="s">
        <v>27</v>
      </c>
      <c r="E3">
        <v>4000</v>
      </c>
      <c r="F3" t="s">
        <v>28</v>
      </c>
      <c r="G3" t="s">
        <v>29</v>
      </c>
      <c r="J3" t="s">
        <v>30</v>
      </c>
    </row>
    <row r="4" spans="1:10" x14ac:dyDescent="0.2">
      <c r="A4">
        <v>3</v>
      </c>
      <c r="B4" t="s">
        <v>19</v>
      </c>
      <c r="C4" t="s">
        <v>31</v>
      </c>
      <c r="D4" t="s">
        <v>27</v>
      </c>
      <c r="E4">
        <v>20000</v>
      </c>
      <c r="F4" t="s">
        <v>32</v>
      </c>
      <c r="G4" t="s">
        <v>33</v>
      </c>
      <c r="H4" t="s">
        <v>34</v>
      </c>
      <c r="J4" t="s">
        <v>35</v>
      </c>
    </row>
    <row r="5" spans="1:10" x14ac:dyDescent="0.2">
      <c r="A5">
        <v>4</v>
      </c>
      <c r="B5" t="s">
        <v>19</v>
      </c>
      <c r="C5" t="s">
        <v>36</v>
      </c>
      <c r="D5" t="s">
        <v>27</v>
      </c>
      <c r="E5">
        <v>3000</v>
      </c>
      <c r="F5" t="s">
        <v>37</v>
      </c>
      <c r="G5" t="s">
        <v>38</v>
      </c>
      <c r="H5" t="s">
        <v>39</v>
      </c>
      <c r="J5" t="s">
        <v>40</v>
      </c>
    </row>
    <row r="6" spans="1:10" x14ac:dyDescent="0.2">
      <c r="A6">
        <v>5</v>
      </c>
      <c r="B6" t="s">
        <v>41</v>
      </c>
      <c r="C6" t="s">
        <v>42</v>
      </c>
      <c r="D6" t="s">
        <v>27</v>
      </c>
      <c r="E6">
        <v>15000</v>
      </c>
      <c r="F6" t="s">
        <v>43</v>
      </c>
      <c r="G6" t="s">
        <v>44</v>
      </c>
      <c r="H6" t="s">
        <v>45</v>
      </c>
      <c r="J6" t="s">
        <v>46</v>
      </c>
    </row>
    <row r="7" spans="1:10" x14ac:dyDescent="0.2">
      <c r="A7">
        <v>6</v>
      </c>
      <c r="B7" t="s">
        <v>47</v>
      </c>
      <c r="C7" t="s">
        <v>48</v>
      </c>
      <c r="D7" t="s">
        <v>21</v>
      </c>
      <c r="E7">
        <v>14400</v>
      </c>
      <c r="F7" t="s">
        <v>43</v>
      </c>
      <c r="G7" t="s">
        <v>49</v>
      </c>
      <c r="H7" t="s">
        <v>50</v>
      </c>
      <c r="I7" t="s">
        <v>51</v>
      </c>
      <c r="J7" t="s">
        <v>52</v>
      </c>
    </row>
    <row r="8" spans="1:10" x14ac:dyDescent="0.2">
      <c r="A8">
        <v>7</v>
      </c>
      <c r="B8" t="s">
        <v>53</v>
      </c>
      <c r="C8" t="s">
        <v>54</v>
      </c>
      <c r="D8" t="s">
        <v>55</v>
      </c>
      <c r="F8" t="s">
        <v>56</v>
      </c>
      <c r="G8" t="s">
        <v>57</v>
      </c>
      <c r="H8" t="s">
        <v>58</v>
      </c>
      <c r="I8" t="s">
        <v>51</v>
      </c>
      <c r="J8" t="s">
        <v>59</v>
      </c>
    </row>
    <row r="9" spans="1:10" x14ac:dyDescent="0.2">
      <c r="A9">
        <v>8</v>
      </c>
      <c r="B9" t="s">
        <v>60</v>
      </c>
      <c r="C9" t="s">
        <v>61</v>
      </c>
      <c r="D9" t="s">
        <v>21</v>
      </c>
      <c r="E9">
        <v>14250</v>
      </c>
      <c r="F9" t="s">
        <v>62</v>
      </c>
      <c r="G9" t="s">
        <v>63</v>
      </c>
      <c r="H9" t="s">
        <v>64</v>
      </c>
      <c r="I9" t="s">
        <v>51</v>
      </c>
      <c r="J9" t="s">
        <v>65</v>
      </c>
    </row>
    <row r="10" spans="1:10" x14ac:dyDescent="0.2">
      <c r="A10">
        <v>9</v>
      </c>
      <c r="B10" t="s">
        <v>66</v>
      </c>
      <c r="C10" t="s">
        <v>67</v>
      </c>
      <c r="D10" t="s">
        <v>21</v>
      </c>
      <c r="E10">
        <v>15400</v>
      </c>
      <c r="F10" t="s">
        <v>56</v>
      </c>
      <c r="G10" t="s">
        <v>49</v>
      </c>
      <c r="H10" t="s">
        <v>50</v>
      </c>
      <c r="I10" t="s">
        <v>51</v>
      </c>
      <c r="J10" t="s">
        <v>68</v>
      </c>
    </row>
    <row r="11" spans="1:10" x14ac:dyDescent="0.2">
      <c r="A11">
        <v>10</v>
      </c>
      <c r="B11" t="s">
        <v>69</v>
      </c>
      <c r="C11" t="s">
        <v>70</v>
      </c>
      <c r="D11" t="s">
        <v>21</v>
      </c>
      <c r="E11">
        <v>1800</v>
      </c>
      <c r="F11" t="s">
        <v>56</v>
      </c>
      <c r="G11" t="s">
        <v>71</v>
      </c>
      <c r="H11" t="s">
        <v>72</v>
      </c>
      <c r="J11" t="s">
        <v>73</v>
      </c>
    </row>
    <row r="12" spans="1:10" x14ac:dyDescent="0.2">
      <c r="A12">
        <v>11</v>
      </c>
      <c r="B12" t="s">
        <v>74</v>
      </c>
      <c r="C12" t="s">
        <v>75</v>
      </c>
      <c r="D12" t="s">
        <v>27</v>
      </c>
      <c r="E12">
        <v>600</v>
      </c>
      <c r="F12" t="s">
        <v>56</v>
      </c>
      <c r="G12" t="s">
        <v>76</v>
      </c>
      <c r="H12" t="s">
        <v>77</v>
      </c>
      <c r="J12" t="s">
        <v>78</v>
      </c>
    </row>
    <row r="13" spans="1:10" x14ac:dyDescent="0.2">
      <c r="A13">
        <v>12</v>
      </c>
      <c r="B13" t="s">
        <v>79</v>
      </c>
      <c r="C13" t="s">
        <v>80</v>
      </c>
      <c r="D13" t="s">
        <v>27</v>
      </c>
      <c r="E13">
        <v>16000</v>
      </c>
      <c r="F13" t="s">
        <v>81</v>
      </c>
      <c r="G13" t="s">
        <v>82</v>
      </c>
      <c r="H13" t="s">
        <v>83</v>
      </c>
      <c r="J13" t="s">
        <v>84</v>
      </c>
    </row>
    <row r="14" spans="1:10" x14ac:dyDescent="0.2">
      <c r="A14">
        <v>13</v>
      </c>
      <c r="B14" t="s">
        <v>79</v>
      </c>
      <c r="C14" t="s">
        <v>85</v>
      </c>
      <c r="D14" t="s">
        <v>21</v>
      </c>
      <c r="G14" t="s">
        <v>86</v>
      </c>
      <c r="H14" t="s">
        <v>87</v>
      </c>
      <c r="I14" t="s">
        <v>51</v>
      </c>
      <c r="J14" t="s">
        <v>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6" width="22" customWidth="1"/>
  </cols>
  <sheetData>
    <row r="1" spans="1:6" ht="16" x14ac:dyDescent="0.2">
      <c r="A1" s="3" t="s">
        <v>89</v>
      </c>
      <c r="B1" s="3" t="s">
        <v>11</v>
      </c>
      <c r="C1" s="3" t="s">
        <v>90</v>
      </c>
      <c r="D1" s="3" t="s">
        <v>91</v>
      </c>
      <c r="E1" s="3" t="s">
        <v>92</v>
      </c>
      <c r="F1" s="3" t="s">
        <v>93</v>
      </c>
    </row>
    <row r="2" spans="1:6" x14ac:dyDescent="0.2">
      <c r="A2" t="s">
        <v>94</v>
      </c>
      <c r="B2" t="s">
        <v>19</v>
      </c>
      <c r="C2" t="s">
        <v>95</v>
      </c>
      <c r="D2" s="2">
        <v>90000</v>
      </c>
      <c r="E2" s="2"/>
      <c r="F2" t="s">
        <v>96</v>
      </c>
    </row>
    <row r="3" spans="1:6" x14ac:dyDescent="0.2">
      <c r="A3" t="s">
        <v>94</v>
      </c>
      <c r="B3" t="s">
        <v>19</v>
      </c>
      <c r="C3" t="s">
        <v>97</v>
      </c>
      <c r="D3" s="2">
        <v>540000</v>
      </c>
      <c r="E3" s="2"/>
      <c r="F3" t="s">
        <v>96</v>
      </c>
    </row>
    <row r="4" spans="1:6" x14ac:dyDescent="0.2">
      <c r="A4" t="s">
        <v>94</v>
      </c>
      <c r="B4" t="s">
        <v>19</v>
      </c>
      <c r="C4" t="s">
        <v>98</v>
      </c>
      <c r="D4" s="2">
        <v>270000</v>
      </c>
      <c r="E4" s="2"/>
      <c r="F4" t="s">
        <v>96</v>
      </c>
    </row>
    <row r="5" spans="1:6" x14ac:dyDescent="0.2">
      <c r="A5" t="s">
        <v>94</v>
      </c>
      <c r="B5" t="s">
        <v>19</v>
      </c>
      <c r="C5" t="s">
        <v>99</v>
      </c>
      <c r="D5" s="2"/>
      <c r="E5" s="2">
        <v>900000</v>
      </c>
      <c r="F5" t="s">
        <v>96</v>
      </c>
    </row>
    <row r="6" spans="1:6" x14ac:dyDescent="0.2">
      <c r="D6" s="2"/>
      <c r="E6" s="2"/>
    </row>
    <row r="7" spans="1:6" x14ac:dyDescent="0.2">
      <c r="A7" t="s">
        <v>100</v>
      </c>
      <c r="B7" t="s">
        <v>19</v>
      </c>
      <c r="C7" t="s">
        <v>97</v>
      </c>
      <c r="D7" s="2">
        <v>4000</v>
      </c>
      <c r="E7" s="2"/>
      <c r="F7" t="s">
        <v>101</v>
      </c>
    </row>
    <row r="8" spans="1:6" x14ac:dyDescent="0.2">
      <c r="A8" t="s">
        <v>100</v>
      </c>
      <c r="B8" t="s">
        <v>19</v>
      </c>
      <c r="C8" t="s">
        <v>102</v>
      </c>
      <c r="D8" s="2"/>
      <c r="E8" s="2">
        <v>4000</v>
      </c>
      <c r="F8" t="s">
        <v>103</v>
      </c>
    </row>
    <row r="9" spans="1:6" x14ac:dyDescent="0.2">
      <c r="D9" s="2"/>
      <c r="E9" s="2"/>
    </row>
    <row r="10" spans="1:6" x14ac:dyDescent="0.2">
      <c r="A10" t="s">
        <v>104</v>
      </c>
      <c r="B10" t="s">
        <v>19</v>
      </c>
      <c r="C10" t="s">
        <v>98</v>
      </c>
      <c r="D10" s="2">
        <v>20000</v>
      </c>
      <c r="E10" s="2"/>
      <c r="F10" t="s">
        <v>105</v>
      </c>
    </row>
    <row r="11" spans="1:6" x14ac:dyDescent="0.2">
      <c r="A11" t="s">
        <v>104</v>
      </c>
      <c r="B11" t="s">
        <v>19</v>
      </c>
      <c r="C11" t="s">
        <v>102</v>
      </c>
      <c r="D11" s="2"/>
      <c r="E11" s="2">
        <v>20000</v>
      </c>
      <c r="F11" t="s">
        <v>106</v>
      </c>
    </row>
    <row r="12" spans="1:6" x14ac:dyDescent="0.2">
      <c r="D12" s="2"/>
      <c r="E12" s="2"/>
    </row>
    <row r="13" spans="1:6" x14ac:dyDescent="0.2">
      <c r="A13" t="s">
        <v>107</v>
      </c>
      <c r="B13" t="s">
        <v>19</v>
      </c>
      <c r="C13" t="s">
        <v>38</v>
      </c>
      <c r="D13" s="2">
        <v>3000</v>
      </c>
      <c r="E13" s="2"/>
      <c r="F13" t="s">
        <v>108</v>
      </c>
    </row>
    <row r="14" spans="1:6" x14ac:dyDescent="0.2">
      <c r="A14" t="s">
        <v>107</v>
      </c>
      <c r="B14" t="s">
        <v>19</v>
      </c>
      <c r="C14" t="s">
        <v>102</v>
      </c>
      <c r="D14" s="2"/>
      <c r="E14" s="2">
        <v>3000</v>
      </c>
      <c r="F14" t="s">
        <v>108</v>
      </c>
    </row>
    <row r="15" spans="1:6" x14ac:dyDescent="0.2">
      <c r="D15" s="2"/>
      <c r="E15" s="2"/>
    </row>
    <row r="16" spans="1:6" x14ac:dyDescent="0.2">
      <c r="A16" t="s">
        <v>109</v>
      </c>
      <c r="B16" t="s">
        <v>41</v>
      </c>
      <c r="C16" t="s">
        <v>102</v>
      </c>
      <c r="D16" s="2">
        <v>15000</v>
      </c>
      <c r="E16" s="2"/>
      <c r="F16" t="s">
        <v>110</v>
      </c>
    </row>
    <row r="17" spans="1:6" x14ac:dyDescent="0.2">
      <c r="A17" t="s">
        <v>109</v>
      </c>
      <c r="B17" t="s">
        <v>41</v>
      </c>
      <c r="C17" t="s">
        <v>111</v>
      </c>
      <c r="D17" s="2"/>
      <c r="E17" s="2">
        <v>15000</v>
      </c>
      <c r="F17" t="s">
        <v>110</v>
      </c>
    </row>
    <row r="18" spans="1:6" x14ac:dyDescent="0.2">
      <c r="D18" s="2"/>
      <c r="E18" s="2"/>
    </row>
    <row r="19" spans="1:6" x14ac:dyDescent="0.2">
      <c r="A19" t="s">
        <v>112</v>
      </c>
      <c r="B19" t="s">
        <v>47</v>
      </c>
      <c r="C19" t="s">
        <v>111</v>
      </c>
      <c r="D19" s="2">
        <v>14400</v>
      </c>
      <c r="E19" s="2"/>
      <c r="F19" t="s">
        <v>113</v>
      </c>
    </row>
    <row r="20" spans="1:6" x14ac:dyDescent="0.2">
      <c r="A20" t="s">
        <v>112</v>
      </c>
      <c r="B20" t="s">
        <v>47</v>
      </c>
      <c r="C20" t="s">
        <v>114</v>
      </c>
      <c r="D20" s="2"/>
      <c r="E20" s="2">
        <v>14400</v>
      </c>
      <c r="F20" t="s">
        <v>113</v>
      </c>
    </row>
    <row r="21" spans="1:6" x14ac:dyDescent="0.2">
      <c r="A21" t="s">
        <v>112</v>
      </c>
      <c r="B21" t="s">
        <v>47</v>
      </c>
      <c r="C21" t="s">
        <v>115</v>
      </c>
      <c r="D21" s="2">
        <v>9600</v>
      </c>
      <c r="E21" s="2"/>
      <c r="F21" t="s">
        <v>68</v>
      </c>
    </row>
    <row r="22" spans="1:6" x14ac:dyDescent="0.2">
      <c r="A22" t="s">
        <v>112</v>
      </c>
      <c r="B22" t="s">
        <v>47</v>
      </c>
      <c r="C22" t="s">
        <v>116</v>
      </c>
      <c r="D22" s="2"/>
      <c r="E22" s="2">
        <v>9600</v>
      </c>
      <c r="F22" t="s">
        <v>68</v>
      </c>
    </row>
    <row r="23" spans="1:6" x14ac:dyDescent="0.2">
      <c r="D23" s="2"/>
      <c r="E23" s="2"/>
    </row>
    <row r="24" spans="1:6" x14ac:dyDescent="0.2">
      <c r="A24" t="s">
        <v>117</v>
      </c>
      <c r="B24" t="s">
        <v>53</v>
      </c>
      <c r="C24" t="s">
        <v>118</v>
      </c>
      <c r="D24" s="2">
        <v>1200</v>
      </c>
      <c r="E24" s="2"/>
      <c r="F24" t="s">
        <v>119</v>
      </c>
    </row>
    <row r="25" spans="1:6" x14ac:dyDescent="0.2">
      <c r="A25" t="s">
        <v>117</v>
      </c>
      <c r="B25" t="s">
        <v>53</v>
      </c>
      <c r="C25" t="s">
        <v>111</v>
      </c>
      <c r="D25" s="2"/>
      <c r="E25" s="2">
        <v>1200</v>
      </c>
      <c r="F25" t="s">
        <v>119</v>
      </c>
    </row>
    <row r="26" spans="1:6" x14ac:dyDescent="0.2">
      <c r="A26" t="s">
        <v>117</v>
      </c>
      <c r="B26" t="s">
        <v>53</v>
      </c>
      <c r="C26" t="s">
        <v>116</v>
      </c>
      <c r="D26" s="2">
        <v>800</v>
      </c>
      <c r="E26" s="2"/>
      <c r="F26" t="s">
        <v>120</v>
      </c>
    </row>
    <row r="27" spans="1:6" x14ac:dyDescent="0.2">
      <c r="A27" t="s">
        <v>117</v>
      </c>
      <c r="B27" t="s">
        <v>53</v>
      </c>
      <c r="C27" t="s">
        <v>115</v>
      </c>
      <c r="D27" s="2"/>
      <c r="E27" s="2">
        <v>800</v>
      </c>
      <c r="F27" t="s">
        <v>120</v>
      </c>
    </row>
    <row r="28" spans="1:6" x14ac:dyDescent="0.2">
      <c r="A28" t="s">
        <v>117</v>
      </c>
      <c r="B28" t="s">
        <v>53</v>
      </c>
      <c r="C28" t="s">
        <v>102</v>
      </c>
      <c r="D28" s="2">
        <v>12936</v>
      </c>
      <c r="E28" s="2"/>
      <c r="F28" t="s">
        <v>121</v>
      </c>
    </row>
    <row r="29" spans="1:6" x14ac:dyDescent="0.2">
      <c r="A29" t="s">
        <v>117</v>
      </c>
      <c r="B29" t="s">
        <v>53</v>
      </c>
      <c r="C29" t="s">
        <v>122</v>
      </c>
      <c r="D29" s="2">
        <v>264</v>
      </c>
      <c r="E29" s="2"/>
      <c r="F29" t="s">
        <v>121</v>
      </c>
    </row>
    <row r="30" spans="1:6" x14ac:dyDescent="0.2">
      <c r="A30" t="s">
        <v>117</v>
      </c>
      <c r="B30" t="s">
        <v>53</v>
      </c>
      <c r="C30" t="s">
        <v>111</v>
      </c>
      <c r="D30" s="2"/>
      <c r="E30" s="2">
        <v>13200</v>
      </c>
      <c r="F30" t="s">
        <v>121</v>
      </c>
    </row>
    <row r="31" spans="1:6" x14ac:dyDescent="0.2">
      <c r="D31" s="2"/>
      <c r="E31" s="2"/>
    </row>
    <row r="32" spans="1:6" x14ac:dyDescent="0.2">
      <c r="A32" t="s">
        <v>123</v>
      </c>
      <c r="B32" t="s">
        <v>60</v>
      </c>
      <c r="C32" t="s">
        <v>116</v>
      </c>
      <c r="D32" s="2">
        <v>14250</v>
      </c>
      <c r="E32" s="2"/>
      <c r="F32" t="s">
        <v>124</v>
      </c>
    </row>
    <row r="33" spans="1:6" x14ac:dyDescent="0.2">
      <c r="A33" t="s">
        <v>123</v>
      </c>
      <c r="B33" t="s">
        <v>60</v>
      </c>
      <c r="C33" t="s">
        <v>125</v>
      </c>
      <c r="D33" s="2"/>
      <c r="E33" s="2">
        <v>14250</v>
      </c>
      <c r="F33" t="s">
        <v>124</v>
      </c>
    </row>
    <row r="34" spans="1:6" x14ac:dyDescent="0.2">
      <c r="D34" s="2"/>
      <c r="E34" s="2"/>
    </row>
    <row r="35" spans="1:6" x14ac:dyDescent="0.2">
      <c r="A35" t="s">
        <v>126</v>
      </c>
      <c r="B35" t="s">
        <v>66</v>
      </c>
      <c r="C35" t="s">
        <v>111</v>
      </c>
      <c r="D35" s="2">
        <v>15400</v>
      </c>
      <c r="E35" s="2"/>
      <c r="F35" t="s">
        <v>113</v>
      </c>
    </row>
    <row r="36" spans="1:6" x14ac:dyDescent="0.2">
      <c r="A36" t="s">
        <v>126</v>
      </c>
      <c r="B36" t="s">
        <v>66</v>
      </c>
      <c r="C36" t="s">
        <v>114</v>
      </c>
      <c r="D36" s="2"/>
      <c r="E36" s="2">
        <v>15400</v>
      </c>
      <c r="F36" t="s">
        <v>113</v>
      </c>
    </row>
    <row r="37" spans="1:6" x14ac:dyDescent="0.2">
      <c r="A37" t="s">
        <v>126</v>
      </c>
      <c r="B37" t="s">
        <v>66</v>
      </c>
      <c r="C37" t="s">
        <v>115</v>
      </c>
      <c r="D37" s="2">
        <v>9100</v>
      </c>
      <c r="E37" s="2"/>
      <c r="F37" t="s">
        <v>68</v>
      </c>
    </row>
    <row r="38" spans="1:6" x14ac:dyDescent="0.2">
      <c r="A38" t="s">
        <v>126</v>
      </c>
      <c r="B38" t="s">
        <v>66</v>
      </c>
      <c r="C38" t="s">
        <v>116</v>
      </c>
      <c r="D38" s="2"/>
      <c r="E38" s="2">
        <v>9100</v>
      </c>
      <c r="F38" t="s">
        <v>68</v>
      </c>
    </row>
    <row r="39" spans="1:6" x14ac:dyDescent="0.2">
      <c r="D39" s="2"/>
      <c r="E39" s="2"/>
    </row>
    <row r="40" spans="1:6" x14ac:dyDescent="0.2">
      <c r="A40" t="s">
        <v>127</v>
      </c>
      <c r="B40" t="s">
        <v>69</v>
      </c>
      <c r="C40" t="s">
        <v>128</v>
      </c>
      <c r="D40" s="2">
        <v>1800</v>
      </c>
      <c r="E40" s="2"/>
      <c r="F40" t="s">
        <v>129</v>
      </c>
    </row>
    <row r="41" spans="1:6" x14ac:dyDescent="0.2">
      <c r="A41" t="s">
        <v>127</v>
      </c>
      <c r="B41" t="s">
        <v>69</v>
      </c>
      <c r="C41" t="s">
        <v>111</v>
      </c>
      <c r="D41" s="2"/>
      <c r="E41" s="2">
        <v>1800</v>
      </c>
      <c r="F41" t="s">
        <v>129</v>
      </c>
    </row>
    <row r="42" spans="1:6" x14ac:dyDescent="0.2">
      <c r="D42" s="2"/>
      <c r="E42" s="2"/>
    </row>
    <row r="43" spans="1:6" x14ac:dyDescent="0.2">
      <c r="A43" t="s">
        <v>130</v>
      </c>
      <c r="B43" t="s">
        <v>74</v>
      </c>
      <c r="C43" t="s">
        <v>111</v>
      </c>
      <c r="D43" s="2">
        <v>600</v>
      </c>
      <c r="E43" s="2"/>
      <c r="F43" t="s">
        <v>131</v>
      </c>
    </row>
    <row r="44" spans="1:6" x14ac:dyDescent="0.2">
      <c r="A44" t="s">
        <v>130</v>
      </c>
      <c r="B44" t="s">
        <v>74</v>
      </c>
      <c r="C44" t="s">
        <v>128</v>
      </c>
      <c r="D44" s="2"/>
      <c r="E44" s="2">
        <v>600</v>
      </c>
      <c r="F44" t="s">
        <v>131</v>
      </c>
    </row>
    <row r="45" spans="1:6" x14ac:dyDescent="0.2">
      <c r="A45" t="s">
        <v>130</v>
      </c>
      <c r="B45" t="s">
        <v>74</v>
      </c>
      <c r="C45" t="s">
        <v>102</v>
      </c>
      <c r="D45" s="2">
        <v>600</v>
      </c>
      <c r="E45" s="2"/>
      <c r="F45" t="s">
        <v>132</v>
      </c>
    </row>
    <row r="46" spans="1:6" x14ac:dyDescent="0.2">
      <c r="A46" t="s">
        <v>130</v>
      </c>
      <c r="B46" t="s">
        <v>74</v>
      </c>
      <c r="C46" t="s">
        <v>111</v>
      </c>
      <c r="D46" s="2"/>
      <c r="E46" s="2">
        <v>600</v>
      </c>
      <c r="F46" t="s">
        <v>132</v>
      </c>
    </row>
    <row r="47" spans="1:6" x14ac:dyDescent="0.2">
      <c r="D47" s="2"/>
      <c r="E47" s="2"/>
    </row>
    <row r="48" spans="1:6" x14ac:dyDescent="0.2">
      <c r="A48" t="s">
        <v>133</v>
      </c>
      <c r="B48" t="s">
        <v>79</v>
      </c>
      <c r="C48" t="s">
        <v>134</v>
      </c>
      <c r="D48" s="2">
        <v>3200</v>
      </c>
      <c r="E48" s="2"/>
      <c r="F48" t="s">
        <v>135</v>
      </c>
    </row>
    <row r="49" spans="1:6" x14ac:dyDescent="0.2">
      <c r="A49" t="s">
        <v>133</v>
      </c>
      <c r="B49" t="s">
        <v>79</v>
      </c>
      <c r="C49" t="s">
        <v>136</v>
      </c>
      <c r="D49" s="2"/>
      <c r="E49" s="2">
        <v>3200</v>
      </c>
      <c r="F49" t="s">
        <v>135</v>
      </c>
    </row>
    <row r="50" spans="1:6" x14ac:dyDescent="0.2">
      <c r="D50" s="2"/>
      <c r="E50" s="2"/>
    </row>
    <row r="51" spans="1:6" x14ac:dyDescent="0.2">
      <c r="A51" t="s">
        <v>137</v>
      </c>
      <c r="B51" t="s">
        <v>79</v>
      </c>
      <c r="C51" t="s">
        <v>102</v>
      </c>
      <c r="D51" s="2">
        <v>16000</v>
      </c>
      <c r="E51" s="2"/>
      <c r="F51" t="s">
        <v>138</v>
      </c>
    </row>
    <row r="52" spans="1:6" x14ac:dyDescent="0.2">
      <c r="A52" t="s">
        <v>137</v>
      </c>
      <c r="B52" t="s">
        <v>79</v>
      </c>
      <c r="C52" t="s">
        <v>136</v>
      </c>
      <c r="D52" s="2">
        <v>7200</v>
      </c>
      <c r="E52" s="2"/>
      <c r="F52" t="s">
        <v>138</v>
      </c>
    </row>
    <row r="53" spans="1:6" x14ac:dyDescent="0.2">
      <c r="A53" t="s">
        <v>137</v>
      </c>
      <c r="B53" t="s">
        <v>79</v>
      </c>
      <c r="C53" t="s">
        <v>139</v>
      </c>
      <c r="D53" s="2"/>
      <c r="E53" s="2">
        <v>20000</v>
      </c>
      <c r="F53" t="s">
        <v>138</v>
      </c>
    </row>
    <row r="54" spans="1:6" x14ac:dyDescent="0.2">
      <c r="A54" t="s">
        <v>137</v>
      </c>
      <c r="B54" t="s">
        <v>79</v>
      </c>
      <c r="C54" t="s">
        <v>140</v>
      </c>
      <c r="D54" s="2"/>
      <c r="E54" s="2">
        <v>3200</v>
      </c>
      <c r="F54" t="s">
        <v>138</v>
      </c>
    </row>
    <row r="55" spans="1:6" x14ac:dyDescent="0.2">
      <c r="D55" s="2"/>
      <c r="E55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8"/>
  <sheetViews>
    <sheetView workbookViewId="0">
      <pane ySplit="1" topLeftCell="A28" activePane="bottomLeft" state="frozen"/>
      <selection pane="bottomLeft"/>
    </sheetView>
  </sheetViews>
  <sheetFormatPr baseColWidth="10" defaultColWidth="8.83203125" defaultRowHeight="15" x14ac:dyDescent="0.2"/>
  <cols>
    <col min="1" max="1" width="28" customWidth="1"/>
    <col min="2" max="2" width="16" customWidth="1"/>
    <col min="3" max="3" width="2" customWidth="1"/>
    <col min="4" max="4" width="28" customWidth="1"/>
    <col min="5" max="5" width="16" customWidth="1"/>
  </cols>
  <sheetData>
    <row r="1" spans="1:5" x14ac:dyDescent="0.2">
      <c r="A1" s="4" t="s">
        <v>141</v>
      </c>
      <c r="B1" s="4" t="s">
        <v>142</v>
      </c>
      <c r="C1" s="4"/>
      <c r="D1" s="4" t="s">
        <v>143</v>
      </c>
      <c r="E1" s="4" t="s">
        <v>144</v>
      </c>
    </row>
    <row r="2" spans="1:5" ht="16" x14ac:dyDescent="0.2">
      <c r="A2" s="37" t="s">
        <v>102</v>
      </c>
      <c r="B2" s="38"/>
      <c r="C2" s="38"/>
      <c r="D2" s="38"/>
      <c r="E2" s="39"/>
    </row>
    <row r="3" spans="1:5" x14ac:dyDescent="0.2">
      <c r="A3" s="5" t="s">
        <v>145</v>
      </c>
      <c r="B3" s="6"/>
      <c r="C3" s="6"/>
      <c r="D3" s="5" t="s">
        <v>146</v>
      </c>
      <c r="E3" s="6"/>
    </row>
    <row r="4" spans="1:5" x14ac:dyDescent="0.2">
      <c r="A4" s="6" t="s">
        <v>147</v>
      </c>
      <c r="B4" s="7">
        <v>41000</v>
      </c>
      <c r="C4" s="6"/>
      <c r="D4" s="6" t="s">
        <v>148</v>
      </c>
      <c r="E4" s="7">
        <v>4000</v>
      </c>
    </row>
    <row r="5" spans="1:5" x14ac:dyDescent="0.2">
      <c r="A5" s="6" t="s">
        <v>149</v>
      </c>
      <c r="B5" s="7">
        <v>15000</v>
      </c>
      <c r="C5" s="6"/>
      <c r="D5" s="6" t="s">
        <v>150</v>
      </c>
      <c r="E5" s="7">
        <v>20000</v>
      </c>
    </row>
    <row r="6" spans="1:5" x14ac:dyDescent="0.2">
      <c r="A6" s="6" t="s">
        <v>151</v>
      </c>
      <c r="B6" s="7">
        <v>12936</v>
      </c>
      <c r="C6" s="6"/>
      <c r="D6" s="6" t="s">
        <v>152</v>
      </c>
      <c r="E6" s="7">
        <v>3000</v>
      </c>
    </row>
    <row r="7" spans="1:5" x14ac:dyDescent="0.2">
      <c r="A7" s="6" t="s">
        <v>153</v>
      </c>
      <c r="B7" s="7">
        <v>600</v>
      </c>
      <c r="C7" s="6"/>
      <c r="D7" s="6"/>
      <c r="E7" s="6"/>
    </row>
    <row r="8" spans="1:5" x14ac:dyDescent="0.2">
      <c r="A8" s="6" t="s">
        <v>154</v>
      </c>
      <c r="B8" s="7">
        <v>16000</v>
      </c>
      <c r="C8" s="6"/>
      <c r="D8" s="6"/>
      <c r="E8" s="6"/>
    </row>
    <row r="9" spans="1:5" x14ac:dyDescent="0.2">
      <c r="A9" s="8" t="s">
        <v>155</v>
      </c>
      <c r="B9" s="9">
        <v>85536</v>
      </c>
      <c r="C9" s="6"/>
      <c r="D9" s="8" t="s">
        <v>155</v>
      </c>
      <c r="E9" s="9">
        <v>27000</v>
      </c>
    </row>
    <row r="10" spans="1:5" x14ac:dyDescent="0.2">
      <c r="A10" s="8" t="s">
        <v>156</v>
      </c>
      <c r="B10" s="9">
        <v>58536</v>
      </c>
      <c r="C10" s="6"/>
      <c r="D10" s="6"/>
      <c r="E10" s="6"/>
    </row>
    <row r="12" spans="1:5" ht="16" x14ac:dyDescent="0.2">
      <c r="A12" s="37" t="s">
        <v>111</v>
      </c>
      <c r="B12" s="38"/>
      <c r="C12" s="38"/>
      <c r="D12" s="38"/>
      <c r="E12" s="39"/>
    </row>
    <row r="13" spans="1:5" x14ac:dyDescent="0.2">
      <c r="A13" s="5" t="s">
        <v>145</v>
      </c>
      <c r="B13" s="6"/>
      <c r="C13" s="6"/>
      <c r="D13" s="5" t="s">
        <v>146</v>
      </c>
      <c r="E13" s="6"/>
    </row>
    <row r="14" spans="1:5" x14ac:dyDescent="0.2">
      <c r="A14" s="6" t="s">
        <v>147</v>
      </c>
      <c r="B14" s="7">
        <v>29000</v>
      </c>
      <c r="C14" s="6"/>
      <c r="D14" s="6" t="s">
        <v>149</v>
      </c>
      <c r="E14" s="7">
        <v>15000</v>
      </c>
    </row>
    <row r="15" spans="1:5" x14ac:dyDescent="0.2">
      <c r="A15" s="6" t="s">
        <v>157</v>
      </c>
      <c r="B15" s="7">
        <v>14400</v>
      </c>
      <c r="C15" s="6"/>
      <c r="D15" s="6" t="s">
        <v>151</v>
      </c>
      <c r="E15" s="7">
        <v>1200</v>
      </c>
    </row>
    <row r="16" spans="1:5" x14ac:dyDescent="0.2">
      <c r="A16" s="6" t="s">
        <v>158</v>
      </c>
      <c r="B16" s="7">
        <v>15400</v>
      </c>
      <c r="C16" s="6"/>
      <c r="D16" s="6" t="s">
        <v>151</v>
      </c>
      <c r="E16" s="7">
        <v>13200</v>
      </c>
    </row>
    <row r="17" spans="1:5" x14ac:dyDescent="0.2">
      <c r="A17" s="6" t="s">
        <v>153</v>
      </c>
      <c r="B17" s="7">
        <v>600</v>
      </c>
      <c r="C17" s="6"/>
      <c r="D17" s="6" t="s">
        <v>159</v>
      </c>
      <c r="E17" s="7">
        <v>1800</v>
      </c>
    </row>
    <row r="18" spans="1:5" x14ac:dyDescent="0.2">
      <c r="A18" s="6"/>
      <c r="B18" s="6"/>
      <c r="C18" s="6"/>
      <c r="D18" s="6" t="s">
        <v>153</v>
      </c>
      <c r="E18" s="7">
        <v>600</v>
      </c>
    </row>
    <row r="19" spans="1:5" x14ac:dyDescent="0.2">
      <c r="A19" s="8" t="s">
        <v>155</v>
      </c>
      <c r="B19" s="9">
        <v>59400</v>
      </c>
      <c r="C19" s="6"/>
      <c r="D19" s="8" t="s">
        <v>155</v>
      </c>
      <c r="E19" s="9">
        <v>31800</v>
      </c>
    </row>
    <row r="20" spans="1:5" x14ac:dyDescent="0.2">
      <c r="A20" s="8" t="s">
        <v>156</v>
      </c>
      <c r="B20" s="9">
        <v>27600</v>
      </c>
      <c r="C20" s="6"/>
      <c r="D20" s="6"/>
      <c r="E20" s="6"/>
    </row>
    <row r="22" spans="1:5" ht="16" x14ac:dyDescent="0.2">
      <c r="A22" s="37" t="s">
        <v>128</v>
      </c>
      <c r="B22" s="38"/>
      <c r="C22" s="38"/>
      <c r="D22" s="38"/>
      <c r="E22" s="39"/>
    </row>
    <row r="23" spans="1:5" x14ac:dyDescent="0.2">
      <c r="A23" s="5" t="s">
        <v>145</v>
      </c>
      <c r="B23" s="6"/>
      <c r="C23" s="6"/>
      <c r="D23" s="5" t="s">
        <v>146</v>
      </c>
      <c r="E23" s="6"/>
    </row>
    <row r="24" spans="1:5" x14ac:dyDescent="0.2">
      <c r="A24" s="6" t="s">
        <v>159</v>
      </c>
      <c r="B24" s="7">
        <v>1800</v>
      </c>
      <c r="C24" s="6"/>
      <c r="D24" s="6" t="s">
        <v>147</v>
      </c>
      <c r="E24" s="7">
        <v>1600</v>
      </c>
    </row>
    <row r="25" spans="1:5" x14ac:dyDescent="0.2">
      <c r="A25" s="6"/>
      <c r="B25" s="6"/>
      <c r="C25" s="6"/>
      <c r="D25" s="6" t="s">
        <v>153</v>
      </c>
      <c r="E25" s="7">
        <v>600</v>
      </c>
    </row>
    <row r="26" spans="1:5" x14ac:dyDescent="0.2">
      <c r="A26" s="8" t="s">
        <v>155</v>
      </c>
      <c r="B26" s="9">
        <v>1800</v>
      </c>
      <c r="C26" s="6"/>
      <c r="D26" s="8" t="s">
        <v>155</v>
      </c>
      <c r="E26" s="9">
        <v>2200</v>
      </c>
    </row>
    <row r="27" spans="1:5" x14ac:dyDescent="0.2">
      <c r="A27" s="6"/>
      <c r="B27" s="6"/>
      <c r="C27" s="6"/>
      <c r="D27" s="8" t="s">
        <v>160</v>
      </c>
      <c r="E27" s="9">
        <v>400</v>
      </c>
    </row>
    <row r="29" spans="1:5" ht="16" x14ac:dyDescent="0.2">
      <c r="A29" s="37" t="s">
        <v>116</v>
      </c>
      <c r="B29" s="38"/>
      <c r="C29" s="38"/>
      <c r="D29" s="38"/>
      <c r="E29" s="39"/>
    </row>
    <row r="30" spans="1:5" x14ac:dyDescent="0.2">
      <c r="A30" s="5" t="s">
        <v>145</v>
      </c>
      <c r="B30" s="6"/>
      <c r="C30" s="6"/>
      <c r="D30" s="5" t="s">
        <v>146</v>
      </c>
      <c r="E30" s="6"/>
    </row>
    <row r="31" spans="1:5" x14ac:dyDescent="0.2">
      <c r="A31" s="6" t="s">
        <v>147</v>
      </c>
      <c r="B31" s="7">
        <v>16000</v>
      </c>
      <c r="C31" s="6"/>
      <c r="D31" s="6" t="s">
        <v>157</v>
      </c>
      <c r="E31" s="7">
        <v>9600</v>
      </c>
    </row>
    <row r="32" spans="1:5" x14ac:dyDescent="0.2">
      <c r="A32" s="6" t="s">
        <v>151</v>
      </c>
      <c r="B32" s="7">
        <v>800</v>
      </c>
      <c r="C32" s="6"/>
      <c r="D32" s="6" t="s">
        <v>158</v>
      </c>
      <c r="E32" s="7">
        <v>9100</v>
      </c>
    </row>
    <row r="33" spans="1:5" x14ac:dyDescent="0.2">
      <c r="A33" s="6" t="s">
        <v>161</v>
      </c>
      <c r="B33" s="7">
        <v>14250</v>
      </c>
      <c r="C33" s="6"/>
      <c r="D33" s="6"/>
      <c r="E33" s="6"/>
    </row>
    <row r="34" spans="1:5" x14ac:dyDescent="0.2">
      <c r="A34" s="8" t="s">
        <v>155</v>
      </c>
      <c r="B34" s="9">
        <v>31050</v>
      </c>
      <c r="C34" s="6"/>
      <c r="D34" s="8" t="s">
        <v>155</v>
      </c>
      <c r="E34" s="9">
        <v>18700</v>
      </c>
    </row>
    <row r="35" spans="1:5" x14ac:dyDescent="0.2">
      <c r="A35" s="8" t="s">
        <v>156</v>
      </c>
      <c r="B35" s="9">
        <v>12350</v>
      </c>
      <c r="C35" s="6"/>
      <c r="D35" s="6"/>
      <c r="E35" s="6"/>
    </row>
    <row r="37" spans="1:5" ht="16" x14ac:dyDescent="0.2">
      <c r="A37" s="37" t="s">
        <v>38</v>
      </c>
      <c r="B37" s="38"/>
      <c r="C37" s="38"/>
      <c r="D37" s="38"/>
      <c r="E37" s="39"/>
    </row>
    <row r="38" spans="1:5" x14ac:dyDescent="0.2">
      <c r="A38" s="5" t="s">
        <v>145</v>
      </c>
      <c r="B38" s="6"/>
      <c r="C38" s="6"/>
      <c r="D38" s="5" t="s">
        <v>146</v>
      </c>
      <c r="E38" s="6"/>
    </row>
    <row r="39" spans="1:5" x14ac:dyDescent="0.2">
      <c r="A39" s="6" t="s">
        <v>152</v>
      </c>
      <c r="B39" s="7">
        <v>3000</v>
      </c>
      <c r="C39" s="6"/>
      <c r="D39" s="6"/>
      <c r="E39" s="6"/>
    </row>
    <row r="40" spans="1:5" x14ac:dyDescent="0.2">
      <c r="A40" s="8" t="s">
        <v>155</v>
      </c>
      <c r="B40" s="9">
        <v>3000</v>
      </c>
      <c r="C40" s="6"/>
      <c r="D40" s="8" t="s">
        <v>155</v>
      </c>
      <c r="E40" s="9">
        <v>0</v>
      </c>
    </row>
    <row r="41" spans="1:5" x14ac:dyDescent="0.2">
      <c r="A41" s="8" t="s">
        <v>156</v>
      </c>
      <c r="B41" s="9">
        <v>3000</v>
      </c>
      <c r="C41" s="6"/>
      <c r="D41" s="6"/>
      <c r="E41" s="6"/>
    </row>
    <row r="43" spans="1:5" ht="16" x14ac:dyDescent="0.2">
      <c r="A43" s="37" t="s">
        <v>95</v>
      </c>
      <c r="B43" s="38"/>
      <c r="C43" s="38"/>
      <c r="D43" s="38"/>
      <c r="E43" s="39"/>
    </row>
    <row r="44" spans="1:5" x14ac:dyDescent="0.2">
      <c r="A44" s="5" t="s">
        <v>145</v>
      </c>
      <c r="B44" s="6"/>
      <c r="C44" s="6"/>
      <c r="D44" s="5" t="s">
        <v>146</v>
      </c>
      <c r="E44" s="6"/>
    </row>
    <row r="45" spans="1:5" x14ac:dyDescent="0.2">
      <c r="A45" s="6" t="s">
        <v>162</v>
      </c>
      <c r="B45" s="7">
        <v>90000</v>
      </c>
      <c r="C45" s="6"/>
      <c r="D45" s="6"/>
      <c r="E45" s="6"/>
    </row>
    <row r="46" spans="1:5" x14ac:dyDescent="0.2">
      <c r="A46" s="8" t="s">
        <v>155</v>
      </c>
      <c r="B46" s="9">
        <v>90000</v>
      </c>
      <c r="C46" s="6"/>
      <c r="D46" s="8" t="s">
        <v>155</v>
      </c>
      <c r="E46" s="9">
        <v>0</v>
      </c>
    </row>
    <row r="47" spans="1:5" x14ac:dyDescent="0.2">
      <c r="A47" s="8" t="s">
        <v>156</v>
      </c>
      <c r="B47" s="9">
        <v>90000</v>
      </c>
      <c r="C47" s="6"/>
      <c r="D47" s="6"/>
      <c r="E47" s="6"/>
    </row>
    <row r="49" spans="1:5" ht="16" x14ac:dyDescent="0.2">
      <c r="A49" s="37" t="s">
        <v>97</v>
      </c>
      <c r="B49" s="38"/>
      <c r="C49" s="38"/>
      <c r="D49" s="38"/>
      <c r="E49" s="39"/>
    </row>
    <row r="50" spans="1:5" x14ac:dyDescent="0.2">
      <c r="A50" s="5" t="s">
        <v>145</v>
      </c>
      <c r="B50" s="6"/>
      <c r="C50" s="6"/>
      <c r="D50" s="5" t="s">
        <v>146</v>
      </c>
      <c r="E50" s="6"/>
    </row>
    <row r="51" spans="1:5" x14ac:dyDescent="0.2">
      <c r="A51" s="6" t="s">
        <v>162</v>
      </c>
      <c r="B51" s="7">
        <v>540000</v>
      </c>
      <c r="C51" s="6"/>
      <c r="D51" s="6"/>
      <c r="E51" s="6"/>
    </row>
    <row r="52" spans="1:5" x14ac:dyDescent="0.2">
      <c r="A52" s="6" t="s">
        <v>148</v>
      </c>
      <c r="B52" s="7">
        <v>4000</v>
      </c>
      <c r="C52" s="6"/>
      <c r="D52" s="6"/>
      <c r="E52" s="6"/>
    </row>
    <row r="53" spans="1:5" x14ac:dyDescent="0.2">
      <c r="A53" s="8" t="s">
        <v>155</v>
      </c>
      <c r="B53" s="9">
        <v>544000</v>
      </c>
      <c r="C53" s="6"/>
      <c r="D53" s="8" t="s">
        <v>155</v>
      </c>
      <c r="E53" s="9">
        <v>0</v>
      </c>
    </row>
    <row r="54" spans="1:5" x14ac:dyDescent="0.2">
      <c r="A54" s="8" t="s">
        <v>156</v>
      </c>
      <c r="B54" s="9">
        <v>544000</v>
      </c>
      <c r="C54" s="6"/>
      <c r="D54" s="6"/>
      <c r="E54" s="6"/>
    </row>
    <row r="56" spans="1:5" ht="16" x14ac:dyDescent="0.2">
      <c r="A56" s="37" t="s">
        <v>98</v>
      </c>
      <c r="B56" s="38"/>
      <c r="C56" s="38"/>
      <c r="D56" s="38"/>
      <c r="E56" s="39"/>
    </row>
    <row r="57" spans="1:5" x14ac:dyDescent="0.2">
      <c r="A57" s="5" t="s">
        <v>145</v>
      </c>
      <c r="B57" s="6"/>
      <c r="C57" s="6"/>
      <c r="D57" s="5" t="s">
        <v>146</v>
      </c>
      <c r="E57" s="6"/>
    </row>
    <row r="58" spans="1:5" x14ac:dyDescent="0.2">
      <c r="A58" s="6" t="s">
        <v>162</v>
      </c>
      <c r="B58" s="7">
        <v>270000</v>
      </c>
      <c r="C58" s="6"/>
      <c r="D58" s="6"/>
      <c r="E58" s="6"/>
    </row>
    <row r="59" spans="1:5" x14ac:dyDescent="0.2">
      <c r="A59" s="6" t="s">
        <v>150</v>
      </c>
      <c r="B59" s="7">
        <v>20000</v>
      </c>
      <c r="C59" s="6"/>
      <c r="D59" s="6"/>
      <c r="E59" s="6"/>
    </row>
    <row r="60" spans="1:5" x14ac:dyDescent="0.2">
      <c r="A60" s="8" t="s">
        <v>155</v>
      </c>
      <c r="B60" s="9">
        <v>290000</v>
      </c>
      <c r="C60" s="6"/>
      <c r="D60" s="8" t="s">
        <v>155</v>
      </c>
      <c r="E60" s="9">
        <v>0</v>
      </c>
    </row>
    <row r="61" spans="1:5" x14ac:dyDescent="0.2">
      <c r="A61" s="8" t="s">
        <v>156</v>
      </c>
      <c r="B61" s="9">
        <v>290000</v>
      </c>
      <c r="C61" s="6"/>
      <c r="D61" s="6"/>
      <c r="E61" s="6"/>
    </row>
    <row r="63" spans="1:5" ht="16" x14ac:dyDescent="0.2">
      <c r="A63" s="37" t="s">
        <v>139</v>
      </c>
      <c r="B63" s="38"/>
      <c r="C63" s="38"/>
      <c r="D63" s="38"/>
      <c r="E63" s="39"/>
    </row>
    <row r="64" spans="1:5" x14ac:dyDescent="0.2">
      <c r="A64" s="5" t="s">
        <v>145</v>
      </c>
      <c r="B64" s="6"/>
      <c r="C64" s="6"/>
      <c r="D64" s="5" t="s">
        <v>146</v>
      </c>
      <c r="E64" s="6"/>
    </row>
    <row r="65" spans="1:5" x14ac:dyDescent="0.2">
      <c r="A65" s="6" t="s">
        <v>147</v>
      </c>
      <c r="B65" s="7">
        <v>20000</v>
      </c>
      <c r="C65" s="6"/>
      <c r="D65" s="6" t="s">
        <v>154</v>
      </c>
      <c r="E65" s="7">
        <v>20000</v>
      </c>
    </row>
    <row r="66" spans="1:5" x14ac:dyDescent="0.2">
      <c r="A66" s="8" t="s">
        <v>155</v>
      </c>
      <c r="B66" s="9">
        <v>20000</v>
      </c>
      <c r="C66" s="6"/>
      <c r="D66" s="8" t="s">
        <v>155</v>
      </c>
      <c r="E66" s="9">
        <v>20000</v>
      </c>
    </row>
    <row r="67" spans="1:5" x14ac:dyDescent="0.2">
      <c r="A67" s="8" t="s">
        <v>163</v>
      </c>
      <c r="B67" s="9">
        <v>0</v>
      </c>
      <c r="C67" s="6"/>
      <c r="D67" s="6"/>
      <c r="E67" s="6"/>
    </row>
    <row r="69" spans="1:5" ht="16" x14ac:dyDescent="0.2">
      <c r="A69" s="37" t="s">
        <v>164</v>
      </c>
      <c r="B69" s="38"/>
      <c r="C69" s="38"/>
      <c r="D69" s="38"/>
      <c r="E69" s="39"/>
    </row>
    <row r="70" spans="1:5" x14ac:dyDescent="0.2">
      <c r="A70" s="5" t="s">
        <v>145</v>
      </c>
      <c r="B70" s="6"/>
      <c r="C70" s="6"/>
      <c r="D70" s="5" t="s">
        <v>146</v>
      </c>
      <c r="E70" s="6"/>
    </row>
    <row r="71" spans="1:5" x14ac:dyDescent="0.2">
      <c r="A71" s="6"/>
      <c r="B71" s="6"/>
      <c r="C71" s="6"/>
      <c r="D71" s="6" t="s">
        <v>147</v>
      </c>
      <c r="E71" s="7">
        <v>4000</v>
      </c>
    </row>
    <row r="72" spans="1:5" x14ac:dyDescent="0.2">
      <c r="A72" s="8" t="s">
        <v>155</v>
      </c>
      <c r="B72" s="9">
        <v>0</v>
      </c>
      <c r="C72" s="6"/>
      <c r="D72" s="8" t="s">
        <v>155</v>
      </c>
      <c r="E72" s="9">
        <v>4000</v>
      </c>
    </row>
    <row r="73" spans="1:5" x14ac:dyDescent="0.2">
      <c r="A73" s="6"/>
      <c r="B73" s="6"/>
      <c r="C73" s="6"/>
      <c r="D73" s="8" t="s">
        <v>160</v>
      </c>
      <c r="E73" s="9">
        <v>4000</v>
      </c>
    </row>
    <row r="75" spans="1:5" ht="16" x14ac:dyDescent="0.2">
      <c r="A75" s="37" t="s">
        <v>99</v>
      </c>
      <c r="B75" s="38"/>
      <c r="C75" s="38"/>
      <c r="D75" s="38"/>
      <c r="E75" s="39"/>
    </row>
    <row r="76" spans="1:5" x14ac:dyDescent="0.2">
      <c r="A76" s="5" t="s">
        <v>145</v>
      </c>
      <c r="B76" s="6"/>
      <c r="C76" s="6"/>
      <c r="D76" s="5" t="s">
        <v>146</v>
      </c>
      <c r="E76" s="6"/>
    </row>
    <row r="77" spans="1:5" x14ac:dyDescent="0.2">
      <c r="A77" s="6"/>
      <c r="B77" s="6"/>
      <c r="C77" s="6"/>
      <c r="D77" s="6" t="s">
        <v>162</v>
      </c>
      <c r="E77" s="7">
        <v>900000</v>
      </c>
    </row>
    <row r="78" spans="1:5" x14ac:dyDescent="0.2">
      <c r="A78" s="8" t="s">
        <v>155</v>
      </c>
      <c r="B78" s="9">
        <v>0</v>
      </c>
      <c r="C78" s="6"/>
      <c r="D78" s="8" t="s">
        <v>155</v>
      </c>
      <c r="E78" s="9">
        <v>900000</v>
      </c>
    </row>
    <row r="79" spans="1:5" x14ac:dyDescent="0.2">
      <c r="A79" s="6"/>
      <c r="B79" s="6"/>
      <c r="C79" s="6"/>
      <c r="D79" s="8" t="s">
        <v>160</v>
      </c>
      <c r="E79" s="9">
        <v>900000</v>
      </c>
    </row>
    <row r="81" spans="1:5" ht="16" x14ac:dyDescent="0.2">
      <c r="A81" s="37" t="s">
        <v>125</v>
      </c>
      <c r="B81" s="38"/>
      <c r="C81" s="38"/>
      <c r="D81" s="38"/>
      <c r="E81" s="39"/>
    </row>
    <row r="82" spans="1:5" x14ac:dyDescent="0.2">
      <c r="A82" s="5" t="s">
        <v>145</v>
      </c>
      <c r="B82" s="6"/>
      <c r="C82" s="6"/>
      <c r="D82" s="5" t="s">
        <v>146</v>
      </c>
      <c r="E82" s="6"/>
    </row>
    <row r="83" spans="1:5" x14ac:dyDescent="0.2">
      <c r="A83" s="6"/>
      <c r="B83" s="6"/>
      <c r="C83" s="6"/>
      <c r="D83" s="6" t="s">
        <v>147</v>
      </c>
      <c r="E83" s="7">
        <v>8400</v>
      </c>
    </row>
    <row r="84" spans="1:5" x14ac:dyDescent="0.2">
      <c r="A84" s="6"/>
      <c r="B84" s="6"/>
      <c r="C84" s="6"/>
      <c r="D84" s="6" t="s">
        <v>161</v>
      </c>
      <c r="E84" s="7">
        <v>14250</v>
      </c>
    </row>
    <row r="85" spans="1:5" x14ac:dyDescent="0.2">
      <c r="A85" s="8" t="s">
        <v>155</v>
      </c>
      <c r="B85" s="9">
        <v>0</v>
      </c>
      <c r="C85" s="6"/>
      <c r="D85" s="8" t="s">
        <v>155</v>
      </c>
      <c r="E85" s="9">
        <v>22650</v>
      </c>
    </row>
    <row r="86" spans="1:5" x14ac:dyDescent="0.2">
      <c r="A86" s="6"/>
      <c r="B86" s="6"/>
      <c r="C86" s="6"/>
      <c r="D86" s="8" t="s">
        <v>160</v>
      </c>
      <c r="E86" s="9">
        <v>22650</v>
      </c>
    </row>
    <row r="88" spans="1:5" ht="16" x14ac:dyDescent="0.2">
      <c r="A88" s="37" t="s">
        <v>165</v>
      </c>
      <c r="B88" s="38"/>
      <c r="C88" s="38"/>
      <c r="D88" s="38"/>
      <c r="E88" s="39"/>
    </row>
    <row r="89" spans="1:5" x14ac:dyDescent="0.2">
      <c r="A89" s="5" t="s">
        <v>145</v>
      </c>
      <c r="B89" s="6"/>
      <c r="C89" s="6"/>
      <c r="D89" s="5" t="s">
        <v>146</v>
      </c>
      <c r="E89" s="6"/>
    </row>
    <row r="90" spans="1:5" x14ac:dyDescent="0.2">
      <c r="A90" s="6"/>
      <c r="B90" s="6"/>
      <c r="C90" s="6"/>
      <c r="D90" s="6" t="s">
        <v>147</v>
      </c>
      <c r="E90" s="7">
        <v>35000</v>
      </c>
    </row>
    <row r="91" spans="1:5" x14ac:dyDescent="0.2">
      <c r="A91" s="8" t="s">
        <v>155</v>
      </c>
      <c r="B91" s="9">
        <v>0</v>
      </c>
      <c r="C91" s="6"/>
      <c r="D91" s="8" t="s">
        <v>155</v>
      </c>
      <c r="E91" s="9">
        <v>35000</v>
      </c>
    </row>
    <row r="92" spans="1:5" x14ac:dyDescent="0.2">
      <c r="A92" s="6"/>
      <c r="B92" s="6"/>
      <c r="C92" s="6"/>
      <c r="D92" s="8" t="s">
        <v>160</v>
      </c>
      <c r="E92" s="9">
        <v>35000</v>
      </c>
    </row>
    <row r="94" spans="1:5" ht="16" x14ac:dyDescent="0.2">
      <c r="A94" s="37" t="s">
        <v>166</v>
      </c>
      <c r="B94" s="38"/>
      <c r="C94" s="38"/>
      <c r="D94" s="38"/>
      <c r="E94" s="39"/>
    </row>
    <row r="95" spans="1:5" x14ac:dyDescent="0.2">
      <c r="A95" s="5" t="s">
        <v>145</v>
      </c>
      <c r="B95" s="6"/>
      <c r="C95" s="6"/>
      <c r="D95" s="5" t="s">
        <v>146</v>
      </c>
      <c r="E95" s="6"/>
    </row>
    <row r="96" spans="1:5" x14ac:dyDescent="0.2">
      <c r="A96" s="6"/>
      <c r="B96" s="6"/>
      <c r="C96" s="6"/>
      <c r="D96" s="6" t="s">
        <v>147</v>
      </c>
      <c r="E96" s="7">
        <v>12000</v>
      </c>
    </row>
    <row r="97" spans="1:5" x14ac:dyDescent="0.2">
      <c r="A97" s="8" t="s">
        <v>155</v>
      </c>
      <c r="B97" s="9">
        <v>0</v>
      </c>
      <c r="C97" s="6"/>
      <c r="D97" s="8" t="s">
        <v>155</v>
      </c>
      <c r="E97" s="9">
        <v>12000</v>
      </c>
    </row>
    <row r="98" spans="1:5" x14ac:dyDescent="0.2">
      <c r="A98" s="6"/>
      <c r="B98" s="6"/>
      <c r="C98" s="6"/>
      <c r="D98" s="8" t="s">
        <v>160</v>
      </c>
      <c r="E98" s="9">
        <v>12000</v>
      </c>
    </row>
    <row r="100" spans="1:5" ht="16" x14ac:dyDescent="0.2">
      <c r="A100" s="37" t="s">
        <v>167</v>
      </c>
      <c r="B100" s="38"/>
      <c r="C100" s="38"/>
      <c r="D100" s="38"/>
      <c r="E100" s="39"/>
    </row>
    <row r="101" spans="1:5" x14ac:dyDescent="0.2">
      <c r="A101" s="5" t="s">
        <v>145</v>
      </c>
      <c r="B101" s="6"/>
      <c r="C101" s="6"/>
      <c r="D101" s="5" t="s">
        <v>146</v>
      </c>
      <c r="E101" s="6"/>
    </row>
    <row r="102" spans="1:5" x14ac:dyDescent="0.2">
      <c r="A102" s="6"/>
      <c r="B102" s="6"/>
      <c r="C102" s="6"/>
      <c r="D102" s="6" t="s">
        <v>147</v>
      </c>
      <c r="E102" s="7">
        <v>75000</v>
      </c>
    </row>
    <row r="103" spans="1:5" x14ac:dyDescent="0.2">
      <c r="A103" s="6"/>
      <c r="B103" s="6"/>
      <c r="C103" s="6"/>
      <c r="D103" s="6" t="s">
        <v>157</v>
      </c>
      <c r="E103" s="7">
        <v>14400</v>
      </c>
    </row>
    <row r="104" spans="1:5" x14ac:dyDescent="0.2">
      <c r="A104" s="6"/>
      <c r="B104" s="6"/>
      <c r="C104" s="6"/>
      <c r="D104" s="6" t="s">
        <v>158</v>
      </c>
      <c r="E104" s="7">
        <v>15400</v>
      </c>
    </row>
    <row r="105" spans="1:5" x14ac:dyDescent="0.2">
      <c r="A105" s="8" t="s">
        <v>155</v>
      </c>
      <c r="B105" s="9">
        <v>0</v>
      </c>
      <c r="C105" s="6"/>
      <c r="D105" s="8" t="s">
        <v>155</v>
      </c>
      <c r="E105" s="9">
        <v>104800</v>
      </c>
    </row>
    <row r="106" spans="1:5" x14ac:dyDescent="0.2">
      <c r="A106" s="6"/>
      <c r="B106" s="6"/>
      <c r="C106" s="6"/>
      <c r="D106" s="8" t="s">
        <v>160</v>
      </c>
      <c r="E106" s="9">
        <v>104800</v>
      </c>
    </row>
    <row r="108" spans="1:5" ht="16" x14ac:dyDescent="0.2">
      <c r="A108" s="37" t="s">
        <v>118</v>
      </c>
      <c r="B108" s="38"/>
      <c r="C108" s="38"/>
      <c r="D108" s="38"/>
      <c r="E108" s="39"/>
    </row>
    <row r="109" spans="1:5" x14ac:dyDescent="0.2">
      <c r="A109" s="5" t="s">
        <v>145</v>
      </c>
      <c r="B109" s="6"/>
      <c r="C109" s="6"/>
      <c r="D109" s="5" t="s">
        <v>146</v>
      </c>
      <c r="E109" s="6"/>
    </row>
    <row r="110" spans="1:5" x14ac:dyDescent="0.2">
      <c r="A110" s="6" t="s">
        <v>151</v>
      </c>
      <c r="B110" s="7">
        <v>1200</v>
      </c>
      <c r="C110" s="6"/>
      <c r="D110" s="6"/>
      <c r="E110" s="6"/>
    </row>
    <row r="111" spans="1:5" x14ac:dyDescent="0.2">
      <c r="A111" s="8" t="s">
        <v>155</v>
      </c>
      <c r="B111" s="9">
        <v>1200</v>
      </c>
      <c r="C111" s="6"/>
      <c r="D111" s="8" t="s">
        <v>155</v>
      </c>
      <c r="E111" s="9">
        <v>0</v>
      </c>
    </row>
    <row r="112" spans="1:5" x14ac:dyDescent="0.2">
      <c r="A112" s="8" t="s">
        <v>156</v>
      </c>
      <c r="B112" s="9">
        <v>1200</v>
      </c>
      <c r="C112" s="6"/>
      <c r="D112" s="6"/>
      <c r="E112" s="6"/>
    </row>
    <row r="114" spans="1:5" ht="16" x14ac:dyDescent="0.2">
      <c r="A114" s="37" t="s">
        <v>122</v>
      </c>
      <c r="B114" s="38"/>
      <c r="C114" s="38"/>
      <c r="D114" s="38"/>
      <c r="E114" s="39"/>
    </row>
    <row r="115" spans="1:5" x14ac:dyDescent="0.2">
      <c r="A115" s="5" t="s">
        <v>145</v>
      </c>
      <c r="B115" s="6"/>
      <c r="C115" s="6"/>
      <c r="D115" s="5" t="s">
        <v>146</v>
      </c>
      <c r="E115" s="6"/>
    </row>
    <row r="116" spans="1:5" x14ac:dyDescent="0.2">
      <c r="A116" s="6" t="s">
        <v>151</v>
      </c>
      <c r="B116" s="7">
        <v>264</v>
      </c>
      <c r="C116" s="6"/>
      <c r="D116" s="6"/>
      <c r="E116" s="6"/>
    </row>
    <row r="117" spans="1:5" x14ac:dyDescent="0.2">
      <c r="A117" s="8" t="s">
        <v>155</v>
      </c>
      <c r="B117" s="9">
        <v>264</v>
      </c>
      <c r="C117" s="6"/>
      <c r="D117" s="8" t="s">
        <v>155</v>
      </c>
      <c r="E117" s="9">
        <v>0</v>
      </c>
    </row>
    <row r="118" spans="1:5" x14ac:dyDescent="0.2">
      <c r="A118" s="8" t="s">
        <v>156</v>
      </c>
      <c r="B118" s="9">
        <v>264</v>
      </c>
      <c r="C118" s="6"/>
      <c r="D118" s="6"/>
      <c r="E118" s="6"/>
    </row>
    <row r="120" spans="1:5" ht="16" x14ac:dyDescent="0.2">
      <c r="A120" s="37" t="s">
        <v>140</v>
      </c>
      <c r="B120" s="38"/>
      <c r="C120" s="38"/>
      <c r="D120" s="38"/>
      <c r="E120" s="39"/>
    </row>
    <row r="121" spans="1:5" x14ac:dyDescent="0.2">
      <c r="A121" s="5" t="s">
        <v>145</v>
      </c>
      <c r="B121" s="6"/>
      <c r="C121" s="6"/>
      <c r="D121" s="5" t="s">
        <v>146</v>
      </c>
      <c r="E121" s="6"/>
    </row>
    <row r="122" spans="1:5" x14ac:dyDescent="0.2">
      <c r="A122" s="6"/>
      <c r="B122" s="6"/>
      <c r="C122" s="6"/>
      <c r="D122" s="6" t="s">
        <v>154</v>
      </c>
      <c r="E122" s="7">
        <v>3200</v>
      </c>
    </row>
    <row r="123" spans="1:5" x14ac:dyDescent="0.2">
      <c r="A123" s="8" t="s">
        <v>155</v>
      </c>
      <c r="B123" s="9">
        <v>0</v>
      </c>
      <c r="C123" s="6"/>
      <c r="D123" s="8" t="s">
        <v>155</v>
      </c>
      <c r="E123" s="9">
        <v>3200</v>
      </c>
    </row>
    <row r="124" spans="1:5" x14ac:dyDescent="0.2">
      <c r="A124" s="6"/>
      <c r="B124" s="6"/>
      <c r="C124" s="6"/>
      <c r="D124" s="8" t="s">
        <v>160</v>
      </c>
      <c r="E124" s="9">
        <v>3200</v>
      </c>
    </row>
    <row r="126" spans="1:5" ht="16" x14ac:dyDescent="0.2">
      <c r="A126" s="37" t="s">
        <v>115</v>
      </c>
      <c r="B126" s="38"/>
      <c r="C126" s="38"/>
      <c r="D126" s="38"/>
      <c r="E126" s="39"/>
    </row>
    <row r="127" spans="1:5" x14ac:dyDescent="0.2">
      <c r="A127" s="5" t="s">
        <v>145</v>
      </c>
      <c r="B127" s="6"/>
      <c r="C127" s="6"/>
      <c r="D127" s="5" t="s">
        <v>146</v>
      </c>
      <c r="E127" s="6"/>
    </row>
    <row r="128" spans="1:5" x14ac:dyDescent="0.2">
      <c r="A128" s="6" t="s">
        <v>147</v>
      </c>
      <c r="B128" s="7">
        <v>30000</v>
      </c>
      <c r="C128" s="6"/>
      <c r="D128" s="6" t="s">
        <v>151</v>
      </c>
      <c r="E128" s="7">
        <v>800</v>
      </c>
    </row>
    <row r="129" spans="1:5" x14ac:dyDescent="0.2">
      <c r="A129" s="6" t="s">
        <v>157</v>
      </c>
      <c r="B129" s="7">
        <v>9600</v>
      </c>
      <c r="C129" s="6"/>
      <c r="D129" s="6"/>
      <c r="E129" s="6"/>
    </row>
    <row r="130" spans="1:5" x14ac:dyDescent="0.2">
      <c r="A130" s="6" t="s">
        <v>158</v>
      </c>
      <c r="B130" s="7">
        <v>9100</v>
      </c>
      <c r="C130" s="6"/>
      <c r="D130" s="6"/>
      <c r="E130" s="6"/>
    </row>
    <row r="131" spans="1:5" x14ac:dyDescent="0.2">
      <c r="A131" s="8" t="s">
        <v>155</v>
      </c>
      <c r="B131" s="9">
        <v>48700</v>
      </c>
      <c r="C131" s="6"/>
      <c r="D131" s="8" t="s">
        <v>155</v>
      </c>
      <c r="E131" s="9">
        <v>800</v>
      </c>
    </row>
    <row r="132" spans="1:5" x14ac:dyDescent="0.2">
      <c r="A132" s="8" t="s">
        <v>156</v>
      </c>
      <c r="B132" s="9">
        <v>47900</v>
      </c>
      <c r="C132" s="6"/>
      <c r="D132" s="6"/>
      <c r="E132" s="6"/>
    </row>
    <row r="134" spans="1:5" ht="16" x14ac:dyDescent="0.2">
      <c r="A134" s="37" t="s">
        <v>168</v>
      </c>
      <c r="B134" s="38"/>
      <c r="C134" s="38"/>
      <c r="D134" s="38"/>
      <c r="E134" s="39"/>
    </row>
    <row r="135" spans="1:5" x14ac:dyDescent="0.2">
      <c r="A135" s="5" t="s">
        <v>145</v>
      </c>
      <c r="B135" s="6"/>
      <c r="C135" s="6"/>
      <c r="D135" s="5" t="s">
        <v>146</v>
      </c>
      <c r="E135" s="6"/>
    </row>
    <row r="136" spans="1:5" x14ac:dyDescent="0.2">
      <c r="A136" s="6" t="s">
        <v>154</v>
      </c>
      <c r="B136" s="7">
        <v>7200</v>
      </c>
      <c r="C136" s="6"/>
      <c r="D136" s="6"/>
      <c r="E136" s="6"/>
    </row>
    <row r="137" spans="1:5" x14ac:dyDescent="0.2">
      <c r="A137" s="8" t="s">
        <v>155</v>
      </c>
      <c r="B137" s="9">
        <v>7200</v>
      </c>
      <c r="C137" s="6"/>
      <c r="D137" s="8" t="s">
        <v>155</v>
      </c>
      <c r="E137" s="9">
        <v>0</v>
      </c>
    </row>
    <row r="138" spans="1:5" x14ac:dyDescent="0.2">
      <c r="A138" s="8" t="s">
        <v>156</v>
      </c>
      <c r="B138" s="9">
        <v>7200</v>
      </c>
      <c r="C138" s="6"/>
      <c r="D138" s="6"/>
      <c r="E138" s="6"/>
    </row>
  </sheetData>
  <mergeCells count="20">
    <mergeCell ref="A88:E88"/>
    <mergeCell ref="A69:E69"/>
    <mergeCell ref="A108:E108"/>
    <mergeCell ref="A134:E134"/>
    <mergeCell ref="A63:E63"/>
    <mergeCell ref="A2:E2"/>
    <mergeCell ref="A22:E22"/>
    <mergeCell ref="A126:E126"/>
    <mergeCell ref="A29:E29"/>
    <mergeCell ref="A100:E100"/>
    <mergeCell ref="A43:E43"/>
    <mergeCell ref="A81:E81"/>
    <mergeCell ref="A37:E37"/>
    <mergeCell ref="A75:E75"/>
    <mergeCell ref="A56:E56"/>
    <mergeCell ref="A120:E120"/>
    <mergeCell ref="A12:E12"/>
    <mergeCell ref="A114:E114"/>
    <mergeCell ref="A49:E49"/>
    <mergeCell ref="A94:E9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4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8" customWidth="1"/>
    <col min="2" max="2" width="16" customWidth="1"/>
    <col min="3" max="3" width="2" customWidth="1"/>
    <col min="4" max="4" width="28" customWidth="1"/>
    <col min="5" max="5" width="16" customWidth="1"/>
  </cols>
  <sheetData>
    <row r="1" spans="1:5" x14ac:dyDescent="0.2">
      <c r="A1" s="4" t="s">
        <v>141</v>
      </c>
      <c r="B1" s="4" t="s">
        <v>142</v>
      </c>
      <c r="C1" s="4"/>
      <c r="D1" s="4" t="s">
        <v>143</v>
      </c>
      <c r="E1" s="4" t="s">
        <v>144</v>
      </c>
    </row>
    <row r="2" spans="1:5" ht="16" x14ac:dyDescent="0.2">
      <c r="A2" s="37" t="s">
        <v>102</v>
      </c>
      <c r="B2" s="38"/>
      <c r="C2" s="38"/>
      <c r="D2" s="38"/>
      <c r="E2" s="39"/>
    </row>
    <row r="3" spans="1:5" x14ac:dyDescent="0.2">
      <c r="A3" s="5" t="s">
        <v>145</v>
      </c>
      <c r="B3" s="6"/>
      <c r="C3" s="6"/>
      <c r="D3" s="5" t="s">
        <v>146</v>
      </c>
      <c r="E3" s="6"/>
    </row>
    <row r="4" spans="1:5" x14ac:dyDescent="0.2">
      <c r="A4" s="6" t="s">
        <v>147</v>
      </c>
      <c r="B4" s="7">
        <v>41000</v>
      </c>
      <c r="C4" s="6"/>
      <c r="D4" s="6" t="s">
        <v>148</v>
      </c>
      <c r="E4" s="7">
        <v>4000</v>
      </c>
    </row>
    <row r="5" spans="1:5" x14ac:dyDescent="0.2">
      <c r="A5" s="6" t="s">
        <v>149</v>
      </c>
      <c r="B5" s="7">
        <v>15000</v>
      </c>
      <c r="C5" s="6"/>
      <c r="D5" s="6" t="s">
        <v>150</v>
      </c>
      <c r="E5" s="7">
        <v>20000</v>
      </c>
    </row>
    <row r="6" spans="1:5" x14ac:dyDescent="0.2">
      <c r="A6" s="6" t="s">
        <v>151</v>
      </c>
      <c r="B6" s="7">
        <v>12936</v>
      </c>
      <c r="C6" s="6"/>
      <c r="D6" s="6" t="s">
        <v>152</v>
      </c>
      <c r="E6" s="7">
        <v>3000</v>
      </c>
    </row>
    <row r="7" spans="1:5" x14ac:dyDescent="0.2">
      <c r="A7" s="6" t="s">
        <v>153</v>
      </c>
      <c r="B7" s="7">
        <v>600</v>
      </c>
      <c r="C7" s="6"/>
      <c r="D7" s="6"/>
      <c r="E7" s="6"/>
    </row>
    <row r="8" spans="1:5" x14ac:dyDescent="0.2">
      <c r="A8" s="6" t="s">
        <v>154</v>
      </c>
      <c r="B8" s="7">
        <v>16000</v>
      </c>
      <c r="C8" s="6"/>
      <c r="D8" s="6"/>
      <c r="E8" s="6"/>
    </row>
    <row r="9" spans="1:5" x14ac:dyDescent="0.2">
      <c r="A9" s="8" t="s">
        <v>155</v>
      </c>
      <c r="B9" s="9">
        <v>85536</v>
      </c>
      <c r="C9" s="6"/>
      <c r="D9" s="8" t="s">
        <v>155</v>
      </c>
      <c r="E9" s="9">
        <v>27000</v>
      </c>
    </row>
    <row r="10" spans="1:5" x14ac:dyDescent="0.2">
      <c r="A10" s="8" t="s">
        <v>156</v>
      </c>
      <c r="B10" s="9">
        <v>58536</v>
      </c>
      <c r="C10" s="6"/>
      <c r="D10" s="6"/>
      <c r="E10" s="6"/>
    </row>
    <row r="12" spans="1:5" ht="16" x14ac:dyDescent="0.2">
      <c r="A12" s="37" t="s">
        <v>111</v>
      </c>
      <c r="B12" s="38"/>
      <c r="C12" s="38"/>
      <c r="D12" s="38"/>
      <c r="E12" s="39"/>
    </row>
    <row r="13" spans="1:5" x14ac:dyDescent="0.2">
      <c r="A13" s="5" t="s">
        <v>145</v>
      </c>
      <c r="B13" s="6"/>
      <c r="C13" s="6"/>
      <c r="D13" s="5" t="s">
        <v>146</v>
      </c>
      <c r="E13" s="6"/>
    </row>
    <row r="14" spans="1:5" x14ac:dyDescent="0.2">
      <c r="A14" s="6" t="s">
        <v>147</v>
      </c>
      <c r="B14" s="7">
        <v>29000</v>
      </c>
      <c r="C14" s="6"/>
      <c r="D14" s="6" t="s">
        <v>149</v>
      </c>
      <c r="E14" s="7">
        <v>15000</v>
      </c>
    </row>
    <row r="15" spans="1:5" x14ac:dyDescent="0.2">
      <c r="A15" s="6" t="s">
        <v>157</v>
      </c>
      <c r="B15" s="7">
        <v>14400</v>
      </c>
      <c r="C15" s="6"/>
      <c r="D15" s="6" t="s">
        <v>151</v>
      </c>
      <c r="E15" s="7">
        <v>1200</v>
      </c>
    </row>
    <row r="16" spans="1:5" x14ac:dyDescent="0.2">
      <c r="A16" s="6" t="s">
        <v>158</v>
      </c>
      <c r="B16" s="7">
        <v>15400</v>
      </c>
      <c r="C16" s="6"/>
      <c r="D16" s="6" t="s">
        <v>151</v>
      </c>
      <c r="E16" s="7">
        <v>13200</v>
      </c>
    </row>
    <row r="17" spans="1:5" x14ac:dyDescent="0.2">
      <c r="A17" s="6" t="s">
        <v>153</v>
      </c>
      <c r="B17" s="7">
        <v>600</v>
      </c>
      <c r="C17" s="6"/>
      <c r="D17" s="6" t="s">
        <v>159</v>
      </c>
      <c r="E17" s="7">
        <v>1800</v>
      </c>
    </row>
    <row r="18" spans="1:5" x14ac:dyDescent="0.2">
      <c r="A18" s="6"/>
      <c r="B18" s="6"/>
      <c r="C18" s="6"/>
      <c r="D18" s="6" t="s">
        <v>153</v>
      </c>
      <c r="E18" s="7">
        <v>600</v>
      </c>
    </row>
    <row r="19" spans="1:5" x14ac:dyDescent="0.2">
      <c r="A19" s="8" t="s">
        <v>155</v>
      </c>
      <c r="B19" s="9">
        <v>59400</v>
      </c>
      <c r="C19" s="6"/>
      <c r="D19" s="8" t="s">
        <v>155</v>
      </c>
      <c r="E19" s="9">
        <v>31800</v>
      </c>
    </row>
    <row r="20" spans="1:5" x14ac:dyDescent="0.2">
      <c r="A20" s="8" t="s">
        <v>156</v>
      </c>
      <c r="B20" s="9">
        <v>27600</v>
      </c>
      <c r="C20" s="6"/>
      <c r="D20" s="6"/>
      <c r="E20" s="6"/>
    </row>
    <row r="22" spans="1:5" ht="16" x14ac:dyDescent="0.2">
      <c r="A22" s="37" t="s">
        <v>128</v>
      </c>
      <c r="B22" s="38"/>
      <c r="C22" s="38"/>
      <c r="D22" s="38"/>
      <c r="E22" s="39"/>
    </row>
    <row r="23" spans="1:5" x14ac:dyDescent="0.2">
      <c r="A23" s="5" t="s">
        <v>145</v>
      </c>
      <c r="B23" s="6"/>
      <c r="C23" s="6"/>
      <c r="D23" s="5" t="s">
        <v>146</v>
      </c>
      <c r="E23" s="6"/>
    </row>
    <row r="24" spans="1:5" x14ac:dyDescent="0.2">
      <c r="A24" s="6" t="s">
        <v>159</v>
      </c>
      <c r="B24" s="7">
        <v>1800</v>
      </c>
      <c r="C24" s="6"/>
      <c r="D24" s="6" t="s">
        <v>147</v>
      </c>
      <c r="E24" s="7">
        <v>1600</v>
      </c>
    </row>
    <row r="25" spans="1:5" x14ac:dyDescent="0.2">
      <c r="A25" s="6"/>
      <c r="B25" s="6"/>
      <c r="C25" s="6"/>
      <c r="D25" s="6" t="s">
        <v>153</v>
      </c>
      <c r="E25" s="7">
        <v>600</v>
      </c>
    </row>
    <row r="26" spans="1:5" x14ac:dyDescent="0.2">
      <c r="A26" s="8" t="s">
        <v>155</v>
      </c>
      <c r="B26" s="9">
        <v>1800</v>
      </c>
      <c r="C26" s="6"/>
      <c r="D26" s="8" t="s">
        <v>155</v>
      </c>
      <c r="E26" s="9">
        <v>2200</v>
      </c>
    </row>
    <row r="27" spans="1:5" x14ac:dyDescent="0.2">
      <c r="A27" s="6"/>
      <c r="B27" s="6"/>
      <c r="C27" s="6"/>
      <c r="D27" s="8" t="s">
        <v>160</v>
      </c>
      <c r="E27" s="9">
        <v>400</v>
      </c>
    </row>
    <row r="29" spans="1:5" ht="16" x14ac:dyDescent="0.2">
      <c r="A29" s="37" t="s">
        <v>116</v>
      </c>
      <c r="B29" s="38"/>
      <c r="C29" s="38"/>
      <c r="D29" s="38"/>
      <c r="E29" s="39"/>
    </row>
    <row r="30" spans="1:5" x14ac:dyDescent="0.2">
      <c r="A30" s="5" t="s">
        <v>145</v>
      </c>
      <c r="B30" s="6"/>
      <c r="C30" s="6"/>
      <c r="D30" s="5" t="s">
        <v>146</v>
      </c>
      <c r="E30" s="6"/>
    </row>
    <row r="31" spans="1:5" x14ac:dyDescent="0.2">
      <c r="A31" s="6" t="s">
        <v>147</v>
      </c>
      <c r="B31" s="7">
        <v>16000</v>
      </c>
      <c r="C31" s="6"/>
      <c r="D31" s="6" t="s">
        <v>157</v>
      </c>
      <c r="E31" s="7">
        <v>9600</v>
      </c>
    </row>
    <row r="32" spans="1:5" x14ac:dyDescent="0.2">
      <c r="A32" s="6" t="s">
        <v>151</v>
      </c>
      <c r="B32" s="7">
        <v>800</v>
      </c>
      <c r="C32" s="6"/>
      <c r="D32" s="6" t="s">
        <v>158</v>
      </c>
      <c r="E32" s="7">
        <v>9100</v>
      </c>
    </row>
    <row r="33" spans="1:5" x14ac:dyDescent="0.2">
      <c r="A33" s="6" t="s">
        <v>161</v>
      </c>
      <c r="B33" s="7">
        <v>14250</v>
      </c>
      <c r="C33" s="6"/>
      <c r="D33" s="6"/>
      <c r="E33" s="6"/>
    </row>
    <row r="34" spans="1:5" x14ac:dyDescent="0.2">
      <c r="A34" s="8" t="s">
        <v>155</v>
      </c>
      <c r="B34" s="9">
        <v>31050</v>
      </c>
      <c r="C34" s="6"/>
      <c r="D34" s="8" t="s">
        <v>155</v>
      </c>
      <c r="E34" s="9">
        <v>18700</v>
      </c>
    </row>
    <row r="35" spans="1:5" x14ac:dyDescent="0.2">
      <c r="A35" s="8" t="s">
        <v>156</v>
      </c>
      <c r="B35" s="9">
        <v>12350</v>
      </c>
      <c r="C35" s="6"/>
      <c r="D35" s="6"/>
      <c r="E35" s="6"/>
    </row>
    <row r="37" spans="1:5" ht="16" x14ac:dyDescent="0.2">
      <c r="A37" s="37" t="s">
        <v>38</v>
      </c>
      <c r="B37" s="38"/>
      <c r="C37" s="38"/>
      <c r="D37" s="38"/>
      <c r="E37" s="39"/>
    </row>
    <row r="38" spans="1:5" x14ac:dyDescent="0.2">
      <c r="A38" s="5" t="s">
        <v>145</v>
      </c>
      <c r="B38" s="6"/>
      <c r="C38" s="6"/>
      <c r="D38" s="5" t="s">
        <v>146</v>
      </c>
      <c r="E38" s="6"/>
    </row>
    <row r="39" spans="1:5" x14ac:dyDescent="0.2">
      <c r="A39" s="6" t="s">
        <v>152</v>
      </c>
      <c r="B39" s="7">
        <v>3000</v>
      </c>
      <c r="C39" s="6"/>
      <c r="D39" s="6"/>
      <c r="E39" s="6"/>
    </row>
    <row r="40" spans="1:5" x14ac:dyDescent="0.2">
      <c r="A40" s="8" t="s">
        <v>155</v>
      </c>
      <c r="B40" s="9">
        <v>3000</v>
      </c>
      <c r="C40" s="6"/>
      <c r="D40" s="8" t="s">
        <v>155</v>
      </c>
      <c r="E40" s="9">
        <v>0</v>
      </c>
    </row>
    <row r="41" spans="1:5" x14ac:dyDescent="0.2">
      <c r="A41" s="8" t="s">
        <v>156</v>
      </c>
      <c r="B41" s="9">
        <v>3000</v>
      </c>
      <c r="C41" s="6"/>
      <c r="D41" s="6"/>
      <c r="E41" s="6"/>
    </row>
    <row r="43" spans="1:5" ht="16" x14ac:dyDescent="0.2">
      <c r="A43" s="37" t="s">
        <v>95</v>
      </c>
      <c r="B43" s="38"/>
      <c r="C43" s="38"/>
      <c r="D43" s="38"/>
      <c r="E43" s="39"/>
    </row>
    <row r="44" spans="1:5" x14ac:dyDescent="0.2">
      <c r="A44" s="5" t="s">
        <v>145</v>
      </c>
      <c r="B44" s="6"/>
      <c r="C44" s="6"/>
      <c r="D44" s="5" t="s">
        <v>146</v>
      </c>
      <c r="E44" s="6"/>
    </row>
    <row r="45" spans="1:5" x14ac:dyDescent="0.2">
      <c r="A45" s="6" t="s">
        <v>162</v>
      </c>
      <c r="B45" s="7">
        <v>90000</v>
      </c>
      <c r="C45" s="6"/>
      <c r="D45" s="6"/>
      <c r="E45" s="6"/>
    </row>
    <row r="46" spans="1:5" x14ac:dyDescent="0.2">
      <c r="A46" s="8" t="s">
        <v>155</v>
      </c>
      <c r="B46" s="9">
        <v>90000</v>
      </c>
      <c r="C46" s="6"/>
      <c r="D46" s="8" t="s">
        <v>155</v>
      </c>
      <c r="E46" s="9">
        <v>0</v>
      </c>
    </row>
    <row r="47" spans="1:5" x14ac:dyDescent="0.2">
      <c r="A47" s="8" t="s">
        <v>156</v>
      </c>
      <c r="B47" s="9">
        <v>90000</v>
      </c>
      <c r="C47" s="6"/>
      <c r="D47" s="6"/>
      <c r="E47" s="6"/>
    </row>
    <row r="49" spans="1:5" ht="16" x14ac:dyDescent="0.2">
      <c r="A49" s="37" t="s">
        <v>97</v>
      </c>
      <c r="B49" s="38"/>
      <c r="C49" s="38"/>
      <c r="D49" s="38"/>
      <c r="E49" s="39"/>
    </row>
    <row r="50" spans="1:5" x14ac:dyDescent="0.2">
      <c r="A50" s="5" t="s">
        <v>145</v>
      </c>
      <c r="B50" s="6"/>
      <c r="C50" s="6"/>
      <c r="D50" s="5" t="s">
        <v>146</v>
      </c>
      <c r="E50" s="6"/>
    </row>
    <row r="51" spans="1:5" x14ac:dyDescent="0.2">
      <c r="A51" s="6" t="s">
        <v>162</v>
      </c>
      <c r="B51" s="7">
        <v>540000</v>
      </c>
      <c r="C51" s="6"/>
      <c r="D51" s="6"/>
      <c r="E51" s="6"/>
    </row>
    <row r="52" spans="1:5" x14ac:dyDescent="0.2">
      <c r="A52" s="6" t="s">
        <v>148</v>
      </c>
      <c r="B52" s="7">
        <v>4000</v>
      </c>
      <c r="C52" s="6"/>
      <c r="D52" s="6"/>
      <c r="E52" s="6"/>
    </row>
    <row r="53" spans="1:5" x14ac:dyDescent="0.2">
      <c r="A53" s="8" t="s">
        <v>155</v>
      </c>
      <c r="B53" s="9">
        <v>544000</v>
      </c>
      <c r="C53" s="6"/>
      <c r="D53" s="8" t="s">
        <v>155</v>
      </c>
      <c r="E53" s="9">
        <v>0</v>
      </c>
    </row>
    <row r="54" spans="1:5" x14ac:dyDescent="0.2">
      <c r="A54" s="8" t="s">
        <v>156</v>
      </c>
      <c r="B54" s="9">
        <v>544000</v>
      </c>
      <c r="C54" s="6"/>
      <c r="D54" s="6"/>
      <c r="E54" s="6"/>
    </row>
    <row r="56" spans="1:5" ht="16" x14ac:dyDescent="0.2">
      <c r="A56" s="37" t="s">
        <v>98</v>
      </c>
      <c r="B56" s="38"/>
      <c r="C56" s="38"/>
      <c r="D56" s="38"/>
      <c r="E56" s="39"/>
    </row>
    <row r="57" spans="1:5" x14ac:dyDescent="0.2">
      <c r="A57" s="5" t="s">
        <v>145</v>
      </c>
      <c r="B57" s="6"/>
      <c r="C57" s="6"/>
      <c r="D57" s="5" t="s">
        <v>146</v>
      </c>
      <c r="E57" s="6"/>
    </row>
    <row r="58" spans="1:5" x14ac:dyDescent="0.2">
      <c r="A58" s="6" t="s">
        <v>162</v>
      </c>
      <c r="B58" s="7">
        <v>270000</v>
      </c>
      <c r="C58" s="6"/>
      <c r="D58" s="6"/>
      <c r="E58" s="6"/>
    </row>
    <row r="59" spans="1:5" x14ac:dyDescent="0.2">
      <c r="A59" s="6" t="s">
        <v>150</v>
      </c>
      <c r="B59" s="7">
        <v>20000</v>
      </c>
      <c r="C59" s="6"/>
      <c r="D59" s="6"/>
      <c r="E59" s="6"/>
    </row>
    <row r="60" spans="1:5" x14ac:dyDescent="0.2">
      <c r="A60" s="8" t="s">
        <v>155</v>
      </c>
      <c r="B60" s="9">
        <v>290000</v>
      </c>
      <c r="C60" s="6"/>
      <c r="D60" s="8" t="s">
        <v>155</v>
      </c>
      <c r="E60" s="9">
        <v>0</v>
      </c>
    </row>
    <row r="61" spans="1:5" x14ac:dyDescent="0.2">
      <c r="A61" s="8" t="s">
        <v>156</v>
      </c>
      <c r="B61" s="9">
        <v>290000</v>
      </c>
      <c r="C61" s="6"/>
      <c r="D61" s="6"/>
      <c r="E61" s="6"/>
    </row>
    <row r="63" spans="1:5" ht="16" x14ac:dyDescent="0.2">
      <c r="A63" s="37" t="s">
        <v>139</v>
      </c>
      <c r="B63" s="38"/>
      <c r="C63" s="38"/>
      <c r="D63" s="38"/>
      <c r="E63" s="39"/>
    </row>
    <row r="64" spans="1:5" x14ac:dyDescent="0.2">
      <c r="A64" s="5" t="s">
        <v>145</v>
      </c>
      <c r="B64" s="6"/>
      <c r="C64" s="6"/>
      <c r="D64" s="5" t="s">
        <v>146</v>
      </c>
      <c r="E64" s="6"/>
    </row>
    <row r="65" spans="1:5" x14ac:dyDescent="0.2">
      <c r="A65" s="6" t="s">
        <v>147</v>
      </c>
      <c r="B65" s="7">
        <v>20000</v>
      </c>
      <c r="C65" s="6"/>
      <c r="D65" s="6" t="s">
        <v>154</v>
      </c>
      <c r="E65" s="7">
        <v>20000</v>
      </c>
    </row>
    <row r="66" spans="1:5" x14ac:dyDescent="0.2">
      <c r="A66" s="8" t="s">
        <v>155</v>
      </c>
      <c r="B66" s="9">
        <v>20000</v>
      </c>
      <c r="C66" s="6"/>
      <c r="D66" s="8" t="s">
        <v>155</v>
      </c>
      <c r="E66" s="9">
        <v>20000</v>
      </c>
    </row>
    <row r="67" spans="1:5" x14ac:dyDescent="0.2">
      <c r="A67" s="8" t="s">
        <v>163</v>
      </c>
      <c r="B67" s="9">
        <v>0</v>
      </c>
      <c r="C67" s="6"/>
      <c r="D67" s="6"/>
      <c r="E67" s="6"/>
    </row>
    <row r="69" spans="1:5" ht="16" x14ac:dyDescent="0.2">
      <c r="A69" s="37" t="s">
        <v>164</v>
      </c>
      <c r="B69" s="38"/>
      <c r="C69" s="38"/>
      <c r="D69" s="38"/>
      <c r="E69" s="39"/>
    </row>
    <row r="70" spans="1:5" x14ac:dyDescent="0.2">
      <c r="A70" s="5" t="s">
        <v>145</v>
      </c>
      <c r="B70" s="6"/>
      <c r="C70" s="6"/>
      <c r="D70" s="5" t="s">
        <v>146</v>
      </c>
      <c r="E70" s="6"/>
    </row>
    <row r="71" spans="1:5" x14ac:dyDescent="0.2">
      <c r="A71" s="6"/>
      <c r="B71" s="6"/>
      <c r="C71" s="6"/>
      <c r="D71" s="6" t="s">
        <v>147</v>
      </c>
      <c r="E71" s="7">
        <v>4000</v>
      </c>
    </row>
    <row r="72" spans="1:5" x14ac:dyDescent="0.2">
      <c r="A72" s="8" t="s">
        <v>155</v>
      </c>
      <c r="B72" s="9">
        <v>0</v>
      </c>
      <c r="C72" s="6"/>
      <c r="D72" s="8" t="s">
        <v>155</v>
      </c>
      <c r="E72" s="9">
        <v>4000</v>
      </c>
    </row>
    <row r="73" spans="1:5" x14ac:dyDescent="0.2">
      <c r="A73" s="6"/>
      <c r="B73" s="6"/>
      <c r="C73" s="6"/>
      <c r="D73" s="8" t="s">
        <v>160</v>
      </c>
      <c r="E73" s="9">
        <v>4000</v>
      </c>
    </row>
    <row r="75" spans="1:5" ht="16" x14ac:dyDescent="0.2">
      <c r="A75" s="37" t="s">
        <v>99</v>
      </c>
      <c r="B75" s="38"/>
      <c r="C75" s="38"/>
      <c r="D75" s="38"/>
      <c r="E75" s="39"/>
    </row>
    <row r="76" spans="1:5" x14ac:dyDescent="0.2">
      <c r="A76" s="5" t="s">
        <v>145</v>
      </c>
      <c r="B76" s="6"/>
      <c r="C76" s="6"/>
      <c r="D76" s="5" t="s">
        <v>146</v>
      </c>
      <c r="E76" s="6"/>
    </row>
    <row r="77" spans="1:5" x14ac:dyDescent="0.2">
      <c r="A77" s="6"/>
      <c r="B77" s="6"/>
      <c r="C77" s="6"/>
      <c r="D77" s="6" t="s">
        <v>162</v>
      </c>
      <c r="E77" s="7">
        <v>900000</v>
      </c>
    </row>
    <row r="78" spans="1:5" x14ac:dyDescent="0.2">
      <c r="A78" s="8" t="s">
        <v>155</v>
      </c>
      <c r="B78" s="9">
        <v>0</v>
      </c>
      <c r="C78" s="6"/>
      <c r="D78" s="8" t="s">
        <v>155</v>
      </c>
      <c r="E78" s="9">
        <v>900000</v>
      </c>
    </row>
    <row r="79" spans="1:5" x14ac:dyDescent="0.2">
      <c r="A79" s="6"/>
      <c r="B79" s="6"/>
      <c r="C79" s="6"/>
      <c r="D79" s="8" t="s">
        <v>160</v>
      </c>
      <c r="E79" s="9">
        <v>900000</v>
      </c>
    </row>
    <row r="81" spans="1:5" ht="16" x14ac:dyDescent="0.2">
      <c r="A81" s="37" t="s">
        <v>125</v>
      </c>
      <c r="B81" s="38"/>
      <c r="C81" s="38"/>
      <c r="D81" s="38"/>
      <c r="E81" s="39"/>
    </row>
    <row r="82" spans="1:5" x14ac:dyDescent="0.2">
      <c r="A82" s="5" t="s">
        <v>145</v>
      </c>
      <c r="B82" s="6"/>
      <c r="C82" s="6"/>
      <c r="D82" s="5" t="s">
        <v>146</v>
      </c>
      <c r="E82" s="6"/>
    </row>
    <row r="83" spans="1:5" x14ac:dyDescent="0.2">
      <c r="A83" s="6"/>
      <c r="B83" s="6"/>
      <c r="C83" s="6"/>
      <c r="D83" s="6" t="s">
        <v>147</v>
      </c>
      <c r="E83" s="7">
        <v>8400</v>
      </c>
    </row>
    <row r="84" spans="1:5" x14ac:dyDescent="0.2">
      <c r="A84" s="6"/>
      <c r="B84" s="6"/>
      <c r="C84" s="6"/>
      <c r="D84" s="6" t="s">
        <v>161</v>
      </c>
      <c r="E84" s="7">
        <v>14250</v>
      </c>
    </row>
    <row r="85" spans="1:5" x14ac:dyDescent="0.2">
      <c r="A85" s="8" t="s">
        <v>155</v>
      </c>
      <c r="B85" s="9">
        <v>0</v>
      </c>
      <c r="C85" s="6"/>
      <c r="D85" s="8" t="s">
        <v>155</v>
      </c>
      <c r="E85" s="9">
        <v>22650</v>
      </c>
    </row>
    <row r="86" spans="1:5" x14ac:dyDescent="0.2">
      <c r="A86" s="6"/>
      <c r="B86" s="6"/>
      <c r="C86" s="6"/>
      <c r="D86" s="8" t="s">
        <v>160</v>
      </c>
      <c r="E86" s="9">
        <v>22650</v>
      </c>
    </row>
    <row r="88" spans="1:5" ht="16" x14ac:dyDescent="0.2">
      <c r="A88" s="37" t="s">
        <v>165</v>
      </c>
      <c r="B88" s="38"/>
      <c r="C88" s="38"/>
      <c r="D88" s="38"/>
      <c r="E88" s="39"/>
    </row>
    <row r="89" spans="1:5" x14ac:dyDescent="0.2">
      <c r="A89" s="5" t="s">
        <v>145</v>
      </c>
      <c r="B89" s="6"/>
      <c r="C89" s="6"/>
      <c r="D89" s="5" t="s">
        <v>146</v>
      </c>
      <c r="E89" s="6"/>
    </row>
    <row r="90" spans="1:5" x14ac:dyDescent="0.2">
      <c r="A90" s="6"/>
      <c r="B90" s="6"/>
      <c r="C90" s="6"/>
      <c r="D90" s="6" t="s">
        <v>147</v>
      </c>
      <c r="E90" s="7">
        <v>35000</v>
      </c>
    </row>
    <row r="91" spans="1:5" x14ac:dyDescent="0.2">
      <c r="A91" s="8" t="s">
        <v>155</v>
      </c>
      <c r="B91" s="9">
        <v>0</v>
      </c>
      <c r="C91" s="6"/>
      <c r="D91" s="8" t="s">
        <v>155</v>
      </c>
      <c r="E91" s="9">
        <v>35000</v>
      </c>
    </row>
    <row r="92" spans="1:5" x14ac:dyDescent="0.2">
      <c r="A92" s="6"/>
      <c r="B92" s="6"/>
      <c r="C92" s="6"/>
      <c r="D92" s="8" t="s">
        <v>160</v>
      </c>
      <c r="E92" s="9">
        <v>35000</v>
      </c>
    </row>
    <row r="94" spans="1:5" ht="16" x14ac:dyDescent="0.2">
      <c r="A94" s="37" t="s">
        <v>166</v>
      </c>
      <c r="B94" s="38"/>
      <c r="C94" s="38"/>
      <c r="D94" s="38"/>
      <c r="E94" s="39"/>
    </row>
    <row r="95" spans="1:5" x14ac:dyDescent="0.2">
      <c r="A95" s="5" t="s">
        <v>145</v>
      </c>
      <c r="B95" s="6"/>
      <c r="C95" s="6"/>
      <c r="D95" s="5" t="s">
        <v>146</v>
      </c>
      <c r="E95" s="6"/>
    </row>
    <row r="96" spans="1:5" x14ac:dyDescent="0.2">
      <c r="A96" s="6"/>
      <c r="B96" s="6"/>
      <c r="C96" s="6"/>
      <c r="D96" s="6" t="s">
        <v>147</v>
      </c>
      <c r="E96" s="7">
        <v>12000</v>
      </c>
    </row>
    <row r="97" spans="1:5" x14ac:dyDescent="0.2">
      <c r="A97" s="8" t="s">
        <v>155</v>
      </c>
      <c r="B97" s="9">
        <v>0</v>
      </c>
      <c r="C97" s="6"/>
      <c r="D97" s="8" t="s">
        <v>155</v>
      </c>
      <c r="E97" s="9">
        <v>12000</v>
      </c>
    </row>
    <row r="98" spans="1:5" x14ac:dyDescent="0.2">
      <c r="A98" s="6"/>
      <c r="B98" s="6"/>
      <c r="C98" s="6"/>
      <c r="D98" s="8" t="s">
        <v>160</v>
      </c>
      <c r="E98" s="9">
        <v>12000</v>
      </c>
    </row>
    <row r="100" spans="1:5" ht="16" x14ac:dyDescent="0.2">
      <c r="A100" s="37" t="s">
        <v>167</v>
      </c>
      <c r="B100" s="38"/>
      <c r="C100" s="38"/>
      <c r="D100" s="38"/>
      <c r="E100" s="39"/>
    </row>
    <row r="101" spans="1:5" x14ac:dyDescent="0.2">
      <c r="A101" s="5" t="s">
        <v>145</v>
      </c>
      <c r="B101" s="6"/>
      <c r="C101" s="6"/>
      <c r="D101" s="5" t="s">
        <v>146</v>
      </c>
      <c r="E101" s="6"/>
    </row>
    <row r="102" spans="1:5" x14ac:dyDescent="0.2">
      <c r="A102" s="6"/>
      <c r="B102" s="6"/>
      <c r="C102" s="6"/>
      <c r="D102" s="6" t="s">
        <v>147</v>
      </c>
      <c r="E102" s="7">
        <v>75000</v>
      </c>
    </row>
    <row r="103" spans="1:5" x14ac:dyDescent="0.2">
      <c r="A103" s="6"/>
      <c r="B103" s="6"/>
      <c r="C103" s="6"/>
      <c r="D103" s="6" t="s">
        <v>157</v>
      </c>
      <c r="E103" s="7">
        <v>14400</v>
      </c>
    </row>
    <row r="104" spans="1:5" x14ac:dyDescent="0.2">
      <c r="A104" s="6"/>
      <c r="B104" s="6"/>
      <c r="C104" s="6"/>
      <c r="D104" s="6" t="s">
        <v>158</v>
      </c>
      <c r="E104" s="7">
        <v>15400</v>
      </c>
    </row>
    <row r="105" spans="1:5" x14ac:dyDescent="0.2">
      <c r="A105" s="8" t="s">
        <v>155</v>
      </c>
      <c r="B105" s="9">
        <v>0</v>
      </c>
      <c r="C105" s="6"/>
      <c r="D105" s="8" t="s">
        <v>155</v>
      </c>
      <c r="E105" s="9">
        <v>104800</v>
      </c>
    </row>
    <row r="106" spans="1:5" x14ac:dyDescent="0.2">
      <c r="A106" s="6"/>
      <c r="B106" s="6"/>
      <c r="C106" s="6"/>
      <c r="D106" s="8" t="s">
        <v>160</v>
      </c>
      <c r="E106" s="9">
        <v>104800</v>
      </c>
    </row>
    <row r="108" spans="1:5" ht="16" x14ac:dyDescent="0.2">
      <c r="A108" s="37" t="s">
        <v>118</v>
      </c>
      <c r="B108" s="38"/>
      <c r="C108" s="38"/>
      <c r="D108" s="38"/>
      <c r="E108" s="39"/>
    </row>
    <row r="109" spans="1:5" x14ac:dyDescent="0.2">
      <c r="A109" s="5" t="s">
        <v>145</v>
      </c>
      <c r="B109" s="6"/>
      <c r="C109" s="6"/>
      <c r="D109" s="5" t="s">
        <v>146</v>
      </c>
      <c r="E109" s="6"/>
    </row>
    <row r="110" spans="1:5" x14ac:dyDescent="0.2">
      <c r="A110" s="6" t="s">
        <v>151</v>
      </c>
      <c r="B110" s="7">
        <v>1200</v>
      </c>
      <c r="C110" s="6"/>
      <c r="D110" s="6"/>
      <c r="E110" s="6"/>
    </row>
    <row r="111" spans="1:5" x14ac:dyDescent="0.2">
      <c r="A111" s="8" t="s">
        <v>155</v>
      </c>
      <c r="B111" s="9">
        <v>1200</v>
      </c>
      <c r="C111" s="6"/>
      <c r="D111" s="8" t="s">
        <v>155</v>
      </c>
      <c r="E111" s="9">
        <v>0</v>
      </c>
    </row>
    <row r="112" spans="1:5" x14ac:dyDescent="0.2">
      <c r="A112" s="8" t="s">
        <v>156</v>
      </c>
      <c r="B112" s="9">
        <v>1200</v>
      </c>
      <c r="C112" s="6"/>
      <c r="D112" s="6"/>
      <c r="E112" s="6"/>
    </row>
    <row r="114" spans="1:5" ht="16" x14ac:dyDescent="0.2">
      <c r="A114" s="37" t="s">
        <v>122</v>
      </c>
      <c r="B114" s="38"/>
      <c r="C114" s="38"/>
      <c r="D114" s="38"/>
      <c r="E114" s="39"/>
    </row>
    <row r="115" spans="1:5" x14ac:dyDescent="0.2">
      <c r="A115" s="5" t="s">
        <v>145</v>
      </c>
      <c r="B115" s="6"/>
      <c r="C115" s="6"/>
      <c r="D115" s="5" t="s">
        <v>146</v>
      </c>
      <c r="E115" s="6"/>
    </row>
    <row r="116" spans="1:5" x14ac:dyDescent="0.2">
      <c r="A116" s="6" t="s">
        <v>151</v>
      </c>
      <c r="B116" s="7">
        <v>264</v>
      </c>
      <c r="C116" s="6"/>
      <c r="D116" s="6"/>
      <c r="E116" s="6"/>
    </row>
    <row r="117" spans="1:5" x14ac:dyDescent="0.2">
      <c r="A117" s="8" t="s">
        <v>155</v>
      </c>
      <c r="B117" s="9">
        <v>264</v>
      </c>
      <c r="C117" s="6"/>
      <c r="D117" s="8" t="s">
        <v>155</v>
      </c>
      <c r="E117" s="9">
        <v>0</v>
      </c>
    </row>
    <row r="118" spans="1:5" x14ac:dyDescent="0.2">
      <c r="A118" s="8" t="s">
        <v>156</v>
      </c>
      <c r="B118" s="9">
        <v>264</v>
      </c>
      <c r="C118" s="6"/>
      <c r="D118" s="6"/>
      <c r="E118" s="6"/>
    </row>
    <row r="120" spans="1:5" ht="16" x14ac:dyDescent="0.2">
      <c r="A120" s="37" t="s">
        <v>140</v>
      </c>
      <c r="B120" s="38"/>
      <c r="C120" s="38"/>
      <c r="D120" s="38"/>
      <c r="E120" s="39"/>
    </row>
    <row r="121" spans="1:5" x14ac:dyDescent="0.2">
      <c r="A121" s="5" t="s">
        <v>145</v>
      </c>
      <c r="B121" s="6"/>
      <c r="C121" s="6"/>
      <c r="D121" s="5" t="s">
        <v>146</v>
      </c>
      <c r="E121" s="6"/>
    </row>
    <row r="122" spans="1:5" x14ac:dyDescent="0.2">
      <c r="A122" s="6"/>
      <c r="B122" s="6"/>
      <c r="C122" s="6"/>
      <c r="D122" s="6" t="s">
        <v>154</v>
      </c>
      <c r="E122" s="7">
        <v>3200</v>
      </c>
    </row>
    <row r="123" spans="1:5" x14ac:dyDescent="0.2">
      <c r="A123" s="8" t="s">
        <v>155</v>
      </c>
      <c r="B123" s="9">
        <v>0</v>
      </c>
      <c r="C123" s="6"/>
      <c r="D123" s="8" t="s">
        <v>155</v>
      </c>
      <c r="E123" s="9">
        <v>3200</v>
      </c>
    </row>
    <row r="124" spans="1:5" x14ac:dyDescent="0.2">
      <c r="A124" s="6"/>
      <c r="B124" s="6"/>
      <c r="C124" s="6"/>
      <c r="D124" s="8" t="s">
        <v>160</v>
      </c>
      <c r="E124" s="9">
        <v>3200</v>
      </c>
    </row>
    <row r="126" spans="1:5" ht="16" x14ac:dyDescent="0.2">
      <c r="A126" s="37" t="s">
        <v>115</v>
      </c>
      <c r="B126" s="38"/>
      <c r="C126" s="38"/>
      <c r="D126" s="38"/>
      <c r="E126" s="39"/>
    </row>
    <row r="127" spans="1:5" x14ac:dyDescent="0.2">
      <c r="A127" s="5" t="s">
        <v>145</v>
      </c>
      <c r="B127" s="6"/>
      <c r="C127" s="6"/>
      <c r="D127" s="5" t="s">
        <v>146</v>
      </c>
      <c r="E127" s="6"/>
    </row>
    <row r="128" spans="1:5" x14ac:dyDescent="0.2">
      <c r="A128" s="6" t="s">
        <v>147</v>
      </c>
      <c r="B128" s="7">
        <v>30000</v>
      </c>
      <c r="C128" s="6"/>
      <c r="D128" s="6" t="s">
        <v>151</v>
      </c>
      <c r="E128" s="7">
        <v>800</v>
      </c>
    </row>
    <row r="129" spans="1:5" x14ac:dyDescent="0.2">
      <c r="A129" s="6" t="s">
        <v>157</v>
      </c>
      <c r="B129" s="7">
        <v>9600</v>
      </c>
      <c r="C129" s="6"/>
      <c r="D129" s="6"/>
      <c r="E129" s="6"/>
    </row>
    <row r="130" spans="1:5" x14ac:dyDescent="0.2">
      <c r="A130" s="6" t="s">
        <v>158</v>
      </c>
      <c r="B130" s="7">
        <v>9100</v>
      </c>
      <c r="C130" s="6"/>
      <c r="D130" s="6"/>
      <c r="E130" s="6"/>
    </row>
    <row r="131" spans="1:5" x14ac:dyDescent="0.2">
      <c r="A131" s="8" t="s">
        <v>155</v>
      </c>
      <c r="B131" s="9">
        <v>48700</v>
      </c>
      <c r="C131" s="6"/>
      <c r="D131" s="8" t="s">
        <v>155</v>
      </c>
      <c r="E131" s="9">
        <v>800</v>
      </c>
    </row>
    <row r="132" spans="1:5" x14ac:dyDescent="0.2">
      <c r="A132" s="8" t="s">
        <v>156</v>
      </c>
      <c r="B132" s="9">
        <v>47900</v>
      </c>
      <c r="C132" s="6"/>
      <c r="D132" s="6"/>
      <c r="E132" s="6"/>
    </row>
    <row r="134" spans="1:5" ht="16" x14ac:dyDescent="0.2">
      <c r="A134" s="37" t="s">
        <v>134</v>
      </c>
      <c r="B134" s="38"/>
      <c r="C134" s="38"/>
      <c r="D134" s="38"/>
      <c r="E134" s="39"/>
    </row>
    <row r="135" spans="1:5" x14ac:dyDescent="0.2">
      <c r="A135" s="5" t="s">
        <v>145</v>
      </c>
      <c r="B135" s="6"/>
      <c r="C135" s="6"/>
      <c r="D135" s="5" t="s">
        <v>146</v>
      </c>
      <c r="E135" s="6"/>
    </row>
    <row r="136" spans="1:5" x14ac:dyDescent="0.2">
      <c r="A136" s="6" t="s">
        <v>169</v>
      </c>
      <c r="B136" s="7">
        <v>3200</v>
      </c>
      <c r="C136" s="6"/>
      <c r="D136" s="6"/>
      <c r="E136" s="6"/>
    </row>
    <row r="137" spans="1:5" x14ac:dyDescent="0.2">
      <c r="A137" s="8" t="s">
        <v>155</v>
      </c>
      <c r="B137" s="9">
        <v>3200</v>
      </c>
      <c r="C137" s="6"/>
      <c r="D137" s="8" t="s">
        <v>155</v>
      </c>
      <c r="E137" s="9">
        <v>0</v>
      </c>
    </row>
    <row r="138" spans="1:5" x14ac:dyDescent="0.2">
      <c r="A138" s="8" t="s">
        <v>156</v>
      </c>
      <c r="B138" s="9">
        <v>3200</v>
      </c>
      <c r="C138" s="6"/>
      <c r="D138" s="6"/>
      <c r="E138" s="6"/>
    </row>
    <row r="140" spans="1:5" ht="16" x14ac:dyDescent="0.2">
      <c r="A140" s="37" t="s">
        <v>168</v>
      </c>
      <c r="B140" s="38"/>
      <c r="C140" s="38"/>
      <c r="D140" s="38"/>
      <c r="E140" s="39"/>
    </row>
    <row r="141" spans="1:5" x14ac:dyDescent="0.2">
      <c r="A141" s="5" t="s">
        <v>145</v>
      </c>
      <c r="B141" s="6"/>
      <c r="C141" s="6"/>
      <c r="D141" s="5" t="s">
        <v>146</v>
      </c>
      <c r="E141" s="6"/>
    </row>
    <row r="142" spans="1:5" x14ac:dyDescent="0.2">
      <c r="A142" s="6" t="s">
        <v>154</v>
      </c>
      <c r="B142" s="7">
        <v>7200</v>
      </c>
      <c r="C142" s="6"/>
      <c r="D142" s="6" t="s">
        <v>169</v>
      </c>
      <c r="E142" s="7">
        <v>3200</v>
      </c>
    </row>
    <row r="143" spans="1:5" x14ac:dyDescent="0.2">
      <c r="A143" s="8" t="s">
        <v>155</v>
      </c>
      <c r="B143" s="9">
        <v>7200</v>
      </c>
      <c r="C143" s="6"/>
      <c r="D143" s="8" t="s">
        <v>155</v>
      </c>
      <c r="E143" s="9">
        <v>3200</v>
      </c>
    </row>
    <row r="144" spans="1:5" x14ac:dyDescent="0.2">
      <c r="A144" s="8" t="s">
        <v>156</v>
      </c>
      <c r="B144" s="9">
        <v>4000</v>
      </c>
      <c r="C144" s="6"/>
      <c r="D144" s="6"/>
      <c r="E144" s="6"/>
    </row>
  </sheetData>
  <mergeCells count="21">
    <mergeCell ref="A49:E49"/>
    <mergeCell ref="A94:E94"/>
    <mergeCell ref="A88:E88"/>
    <mergeCell ref="A69:E69"/>
    <mergeCell ref="A108:E108"/>
    <mergeCell ref="A2:E2"/>
    <mergeCell ref="A22:E22"/>
    <mergeCell ref="A126:E126"/>
    <mergeCell ref="A140:E140"/>
    <mergeCell ref="A29:E29"/>
    <mergeCell ref="A100:E100"/>
    <mergeCell ref="A43:E43"/>
    <mergeCell ref="A81:E81"/>
    <mergeCell ref="A134:E134"/>
    <mergeCell ref="A63:E63"/>
    <mergeCell ref="A37:E37"/>
    <mergeCell ref="A75:E75"/>
    <mergeCell ref="A56:E56"/>
    <mergeCell ref="A120:E120"/>
    <mergeCell ref="A12:E12"/>
    <mergeCell ref="A114:E1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4" customWidth="1"/>
    <col min="2" max="3" width="18" customWidth="1"/>
  </cols>
  <sheetData>
    <row r="1" spans="1:3" ht="16" x14ac:dyDescent="0.2">
      <c r="A1" s="3" t="s">
        <v>90</v>
      </c>
      <c r="B1" s="3" t="s">
        <v>91</v>
      </c>
      <c r="C1" s="3" t="s">
        <v>92</v>
      </c>
    </row>
    <row r="2" spans="1:3" x14ac:dyDescent="0.2">
      <c r="A2" s="6" t="s">
        <v>102</v>
      </c>
      <c r="B2" s="7">
        <v>58536</v>
      </c>
      <c r="C2" s="7">
        <v>0</v>
      </c>
    </row>
    <row r="3" spans="1:3" x14ac:dyDescent="0.2">
      <c r="A3" s="6" t="s">
        <v>111</v>
      </c>
      <c r="B3" s="7">
        <v>27600</v>
      </c>
      <c r="C3" s="7">
        <v>0</v>
      </c>
    </row>
    <row r="4" spans="1:3" x14ac:dyDescent="0.2">
      <c r="A4" s="6" t="s">
        <v>128</v>
      </c>
      <c r="B4" s="7">
        <v>0</v>
      </c>
      <c r="C4" s="7">
        <v>400</v>
      </c>
    </row>
    <row r="5" spans="1:3" x14ac:dyDescent="0.2">
      <c r="A5" s="6" t="s">
        <v>116</v>
      </c>
      <c r="B5" s="7">
        <v>12350</v>
      </c>
      <c r="C5" s="7">
        <v>0</v>
      </c>
    </row>
    <row r="6" spans="1:3" x14ac:dyDescent="0.2">
      <c r="A6" s="6" t="s">
        <v>38</v>
      </c>
      <c r="B6" s="7">
        <v>3000</v>
      </c>
      <c r="C6" s="7">
        <v>0</v>
      </c>
    </row>
    <row r="7" spans="1:3" x14ac:dyDescent="0.2">
      <c r="A7" s="6" t="s">
        <v>95</v>
      </c>
      <c r="B7" s="7">
        <v>90000</v>
      </c>
      <c r="C7" s="7">
        <v>0</v>
      </c>
    </row>
    <row r="8" spans="1:3" x14ac:dyDescent="0.2">
      <c r="A8" s="6" t="s">
        <v>97</v>
      </c>
      <c r="B8" s="7">
        <v>544000</v>
      </c>
      <c r="C8" s="7">
        <v>0</v>
      </c>
    </row>
    <row r="9" spans="1:3" x14ac:dyDescent="0.2">
      <c r="A9" s="6" t="s">
        <v>98</v>
      </c>
      <c r="B9" s="7">
        <v>290000</v>
      </c>
      <c r="C9" s="7">
        <v>0</v>
      </c>
    </row>
    <row r="10" spans="1:3" x14ac:dyDescent="0.2">
      <c r="A10" s="6" t="s">
        <v>164</v>
      </c>
      <c r="B10" s="7">
        <v>0</v>
      </c>
      <c r="C10" s="7">
        <v>4000</v>
      </c>
    </row>
    <row r="11" spans="1:3" x14ac:dyDescent="0.2">
      <c r="A11" s="6" t="s">
        <v>99</v>
      </c>
      <c r="B11" s="7">
        <v>0</v>
      </c>
      <c r="C11" s="7">
        <v>900000</v>
      </c>
    </row>
    <row r="12" spans="1:3" x14ac:dyDescent="0.2">
      <c r="A12" s="6" t="s">
        <v>125</v>
      </c>
      <c r="B12" s="7">
        <v>0</v>
      </c>
      <c r="C12" s="7">
        <v>22650</v>
      </c>
    </row>
    <row r="13" spans="1:3" x14ac:dyDescent="0.2">
      <c r="A13" s="6" t="s">
        <v>165</v>
      </c>
      <c r="B13" s="7">
        <v>0</v>
      </c>
      <c r="C13" s="7">
        <v>35000</v>
      </c>
    </row>
    <row r="14" spans="1:3" x14ac:dyDescent="0.2">
      <c r="A14" s="6" t="s">
        <v>166</v>
      </c>
      <c r="B14" s="7">
        <v>0</v>
      </c>
      <c r="C14" s="7">
        <v>12000</v>
      </c>
    </row>
    <row r="15" spans="1:3" x14ac:dyDescent="0.2">
      <c r="A15" s="6" t="s">
        <v>167</v>
      </c>
      <c r="B15" s="7">
        <v>0</v>
      </c>
      <c r="C15" s="7">
        <v>104800</v>
      </c>
    </row>
    <row r="16" spans="1:3" x14ac:dyDescent="0.2">
      <c r="A16" s="6" t="s">
        <v>118</v>
      </c>
      <c r="B16" s="7">
        <v>1200</v>
      </c>
      <c r="C16" s="7">
        <v>0</v>
      </c>
    </row>
    <row r="17" spans="1:3" x14ac:dyDescent="0.2">
      <c r="A17" s="6" t="s">
        <v>122</v>
      </c>
      <c r="B17" s="7">
        <v>264</v>
      </c>
      <c r="C17" s="7">
        <v>0</v>
      </c>
    </row>
    <row r="18" spans="1:3" x14ac:dyDescent="0.2">
      <c r="A18" s="6" t="s">
        <v>140</v>
      </c>
      <c r="B18" s="7">
        <v>0</v>
      </c>
      <c r="C18" s="7">
        <v>3200</v>
      </c>
    </row>
    <row r="19" spans="1:3" x14ac:dyDescent="0.2">
      <c r="A19" s="6" t="s">
        <v>115</v>
      </c>
      <c r="B19" s="7">
        <v>47900</v>
      </c>
      <c r="C19" s="7">
        <v>0</v>
      </c>
    </row>
    <row r="20" spans="1:3" x14ac:dyDescent="0.2">
      <c r="A20" s="6" t="s">
        <v>168</v>
      </c>
      <c r="B20" s="7">
        <v>7200</v>
      </c>
      <c r="C20" s="7">
        <v>0</v>
      </c>
    </row>
    <row r="21" spans="1:3" x14ac:dyDescent="0.2">
      <c r="A21" s="6" t="s">
        <v>170</v>
      </c>
      <c r="B21" s="7">
        <f>SUM(B2:B20)</f>
        <v>1082050</v>
      </c>
      <c r="C21" s="7">
        <f>SUM(C2:C20)</f>
        <v>1082050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4" customWidth="1"/>
    <col min="2" max="3" width="18" customWidth="1"/>
  </cols>
  <sheetData>
    <row r="1" spans="1:3" ht="16" x14ac:dyDescent="0.2">
      <c r="A1" s="3" t="s">
        <v>90</v>
      </c>
      <c r="B1" s="3" t="s">
        <v>91</v>
      </c>
      <c r="C1" s="3" t="s">
        <v>92</v>
      </c>
    </row>
    <row r="2" spans="1:3" x14ac:dyDescent="0.2">
      <c r="A2" s="6" t="s">
        <v>102</v>
      </c>
      <c r="B2" s="7">
        <v>58536</v>
      </c>
      <c r="C2" s="7">
        <v>0</v>
      </c>
    </row>
    <row r="3" spans="1:3" x14ac:dyDescent="0.2">
      <c r="A3" s="6" t="s">
        <v>111</v>
      </c>
      <c r="B3" s="7">
        <v>27600</v>
      </c>
      <c r="C3" s="7">
        <v>0</v>
      </c>
    </row>
    <row r="4" spans="1:3" x14ac:dyDescent="0.2">
      <c r="A4" s="6" t="s">
        <v>128</v>
      </c>
      <c r="B4" s="7">
        <v>0</v>
      </c>
      <c r="C4" s="7">
        <v>400</v>
      </c>
    </row>
    <row r="5" spans="1:3" x14ac:dyDescent="0.2">
      <c r="A5" s="6" t="s">
        <v>116</v>
      </c>
      <c r="B5" s="7">
        <v>12350</v>
      </c>
      <c r="C5" s="7">
        <v>0</v>
      </c>
    </row>
    <row r="6" spans="1:3" x14ac:dyDescent="0.2">
      <c r="A6" s="6" t="s">
        <v>38</v>
      </c>
      <c r="B6" s="7">
        <v>3000</v>
      </c>
      <c r="C6" s="7">
        <v>0</v>
      </c>
    </row>
    <row r="7" spans="1:3" x14ac:dyDescent="0.2">
      <c r="A7" s="6" t="s">
        <v>95</v>
      </c>
      <c r="B7" s="7">
        <v>90000</v>
      </c>
      <c r="C7" s="7">
        <v>0</v>
      </c>
    </row>
    <row r="8" spans="1:3" x14ac:dyDescent="0.2">
      <c r="A8" s="6" t="s">
        <v>97</v>
      </c>
      <c r="B8" s="7">
        <v>544000</v>
      </c>
      <c r="C8" s="7">
        <v>0</v>
      </c>
    </row>
    <row r="9" spans="1:3" x14ac:dyDescent="0.2">
      <c r="A9" s="6" t="s">
        <v>98</v>
      </c>
      <c r="B9" s="7">
        <v>290000</v>
      </c>
      <c r="C9" s="7">
        <v>0</v>
      </c>
    </row>
    <row r="10" spans="1:3" x14ac:dyDescent="0.2">
      <c r="A10" s="6" t="s">
        <v>99</v>
      </c>
      <c r="B10" s="7">
        <v>0</v>
      </c>
      <c r="C10" s="7">
        <v>900000</v>
      </c>
    </row>
    <row r="11" spans="1:3" x14ac:dyDescent="0.2">
      <c r="A11" s="6" t="s">
        <v>125</v>
      </c>
      <c r="B11" s="7">
        <v>0</v>
      </c>
      <c r="C11" s="7">
        <v>22650</v>
      </c>
    </row>
    <row r="12" spans="1:3" x14ac:dyDescent="0.2">
      <c r="A12" s="6" t="s">
        <v>165</v>
      </c>
      <c r="B12" s="7">
        <v>0</v>
      </c>
      <c r="C12" s="7">
        <v>35000</v>
      </c>
    </row>
    <row r="13" spans="1:3" x14ac:dyDescent="0.2">
      <c r="A13" s="6" t="s">
        <v>166</v>
      </c>
      <c r="B13" s="7">
        <v>0</v>
      </c>
      <c r="C13" s="7">
        <v>12000</v>
      </c>
    </row>
    <row r="14" spans="1:3" x14ac:dyDescent="0.2">
      <c r="A14" s="6" t="s">
        <v>167</v>
      </c>
      <c r="B14" s="7">
        <v>0</v>
      </c>
      <c r="C14" s="7">
        <v>104800</v>
      </c>
    </row>
    <row r="15" spans="1:3" x14ac:dyDescent="0.2">
      <c r="A15" s="6" t="s">
        <v>118</v>
      </c>
      <c r="B15" s="7">
        <v>1200</v>
      </c>
      <c r="C15" s="7">
        <v>0</v>
      </c>
    </row>
    <row r="16" spans="1:3" x14ac:dyDescent="0.2">
      <c r="A16" s="6" t="s">
        <v>122</v>
      </c>
      <c r="B16" s="7">
        <v>264</v>
      </c>
      <c r="C16" s="7">
        <v>0</v>
      </c>
    </row>
    <row r="17" spans="1:3" x14ac:dyDescent="0.2">
      <c r="A17" s="6" t="s">
        <v>140</v>
      </c>
      <c r="B17" s="7">
        <v>0</v>
      </c>
      <c r="C17" s="7">
        <v>3200</v>
      </c>
    </row>
    <row r="18" spans="1:3" x14ac:dyDescent="0.2">
      <c r="A18" s="6" t="s">
        <v>115</v>
      </c>
      <c r="B18" s="7">
        <v>47900</v>
      </c>
      <c r="C18" s="7">
        <v>0</v>
      </c>
    </row>
    <row r="19" spans="1:3" x14ac:dyDescent="0.2">
      <c r="A19" s="6" t="s">
        <v>134</v>
      </c>
      <c r="B19" s="7">
        <v>3200</v>
      </c>
      <c r="C19" s="7">
        <v>0</v>
      </c>
    </row>
    <row r="20" spans="1:3" x14ac:dyDescent="0.2">
      <c r="A20" s="6" t="s">
        <v>170</v>
      </c>
      <c r="B20" s="7">
        <f>SUM(B2:B19)</f>
        <v>1078050</v>
      </c>
      <c r="C20" s="7">
        <f>SUM(C2:C19)</f>
        <v>1078050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3" width="34" customWidth="1"/>
    <col min="4" max="5" width="16" customWidth="1"/>
    <col min="6" max="6" width="36" customWidth="1"/>
    <col min="7" max="7" width="42" customWidth="1"/>
  </cols>
  <sheetData>
    <row r="1" spans="1:7" ht="16" x14ac:dyDescent="0.2">
      <c r="A1" s="10" t="s">
        <v>89</v>
      </c>
      <c r="B1" s="10" t="s">
        <v>11</v>
      </c>
      <c r="C1" s="10" t="s">
        <v>90</v>
      </c>
      <c r="D1" s="10" t="s">
        <v>91</v>
      </c>
      <c r="E1" s="10" t="s">
        <v>92</v>
      </c>
      <c r="F1" s="10" t="s">
        <v>171</v>
      </c>
      <c r="G1" s="10" t="s">
        <v>172</v>
      </c>
    </row>
    <row r="2" spans="1:7" x14ac:dyDescent="0.2">
      <c r="A2" s="6" t="s">
        <v>133</v>
      </c>
      <c r="B2" s="7" t="s">
        <v>79</v>
      </c>
      <c r="C2" s="7" t="s">
        <v>134</v>
      </c>
      <c r="D2" s="7">
        <v>3200</v>
      </c>
      <c r="E2" s="7"/>
      <c r="F2" s="7" t="s">
        <v>173</v>
      </c>
      <c r="G2" s="7" t="s">
        <v>174</v>
      </c>
    </row>
    <row r="3" spans="1:7" x14ac:dyDescent="0.2">
      <c r="A3" s="6" t="s">
        <v>133</v>
      </c>
      <c r="B3" s="7" t="s">
        <v>79</v>
      </c>
      <c r="C3" s="7" t="s">
        <v>136</v>
      </c>
      <c r="D3" s="7"/>
      <c r="E3" s="7">
        <v>3200</v>
      </c>
      <c r="F3" s="7" t="s">
        <v>173</v>
      </c>
      <c r="G3" s="7" t="s">
        <v>174</v>
      </c>
    </row>
    <row r="4" spans="1:7" x14ac:dyDescent="0.2">
      <c r="A4" s="6"/>
      <c r="B4" s="7"/>
      <c r="C4" s="7"/>
      <c r="D4" s="7"/>
      <c r="E4" s="7"/>
      <c r="F4" s="7"/>
      <c r="G4" s="7"/>
    </row>
    <row r="5" spans="1:7" ht="32" x14ac:dyDescent="0.2">
      <c r="A5" s="11" t="s">
        <v>90</v>
      </c>
      <c r="B5" s="12" t="s">
        <v>175</v>
      </c>
      <c r="C5" s="12" t="s">
        <v>176</v>
      </c>
      <c r="D5" s="12" t="s">
        <v>177</v>
      </c>
      <c r="E5" s="12" t="s">
        <v>178</v>
      </c>
      <c r="F5" s="12" t="s">
        <v>179</v>
      </c>
      <c r="G5" s="12" t="s">
        <v>180</v>
      </c>
    </row>
    <row r="6" spans="1:7" x14ac:dyDescent="0.2">
      <c r="A6" s="6" t="s">
        <v>168</v>
      </c>
      <c r="B6" s="7">
        <v>7200</v>
      </c>
      <c r="C6" s="7"/>
      <c r="D6" s="7">
        <v>4000</v>
      </c>
      <c r="E6" s="7"/>
      <c r="F6" s="7">
        <v>-3200</v>
      </c>
      <c r="G6" s="7"/>
    </row>
    <row r="7" spans="1:7" x14ac:dyDescent="0.2">
      <c r="A7" s="6" t="s">
        <v>134</v>
      </c>
      <c r="B7" s="7"/>
      <c r="C7" s="7"/>
      <c r="D7" s="7">
        <v>3200</v>
      </c>
      <c r="E7" s="7"/>
      <c r="F7" s="7">
        <v>3200</v>
      </c>
      <c r="G7" s="7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6" customWidth="1"/>
    <col min="2" max="2" width="36" customWidth="1"/>
    <col min="3" max="4" width="18" customWidth="1"/>
  </cols>
  <sheetData>
    <row r="1" spans="1:4" ht="16" x14ac:dyDescent="0.2">
      <c r="A1" s="3" t="s">
        <v>181</v>
      </c>
      <c r="B1" s="3" t="s">
        <v>90</v>
      </c>
      <c r="C1" s="3" t="s">
        <v>91</v>
      </c>
      <c r="D1" s="3" t="s">
        <v>92</v>
      </c>
    </row>
    <row r="2" spans="1:4" x14ac:dyDescent="0.2">
      <c r="A2" s="13" t="s">
        <v>182</v>
      </c>
      <c r="B2" s="13"/>
      <c r="C2" s="14"/>
      <c r="D2" s="14"/>
    </row>
    <row r="3" spans="1:4" x14ac:dyDescent="0.2">
      <c r="A3" s="15"/>
      <c r="B3" s="15" t="s">
        <v>111</v>
      </c>
      <c r="C3" s="16">
        <v>27600</v>
      </c>
      <c r="D3" s="16">
        <v>0</v>
      </c>
    </row>
    <row r="4" spans="1:4" x14ac:dyDescent="0.2">
      <c r="A4" s="15"/>
      <c r="B4" s="15" t="s">
        <v>102</v>
      </c>
      <c r="C4" s="16">
        <v>58536</v>
      </c>
      <c r="D4" s="16">
        <v>0</v>
      </c>
    </row>
    <row r="5" spans="1:4" x14ac:dyDescent="0.2">
      <c r="A5" s="15"/>
      <c r="B5" s="15" t="s">
        <v>116</v>
      </c>
      <c r="C5" s="16">
        <v>12350</v>
      </c>
      <c r="D5" s="16">
        <v>0</v>
      </c>
    </row>
    <row r="6" spans="1:4" x14ac:dyDescent="0.2">
      <c r="A6" s="15"/>
      <c r="B6" s="15" t="s">
        <v>38</v>
      </c>
      <c r="C6" s="16">
        <v>3000</v>
      </c>
      <c r="D6" s="16">
        <v>0</v>
      </c>
    </row>
    <row r="7" spans="1:4" x14ac:dyDescent="0.2">
      <c r="A7" s="13" t="s">
        <v>183</v>
      </c>
      <c r="B7" s="13"/>
      <c r="C7" s="14"/>
      <c r="D7" s="14"/>
    </row>
    <row r="8" spans="1:4" x14ac:dyDescent="0.2">
      <c r="A8" s="15"/>
      <c r="B8" s="15" t="s">
        <v>128</v>
      </c>
      <c r="C8" s="16">
        <v>0</v>
      </c>
      <c r="D8" s="16">
        <v>400</v>
      </c>
    </row>
    <row r="9" spans="1:4" x14ac:dyDescent="0.2">
      <c r="A9" s="15"/>
      <c r="B9" s="15" t="s">
        <v>98</v>
      </c>
      <c r="C9" s="16">
        <v>290000</v>
      </c>
      <c r="D9" s="16">
        <v>0</v>
      </c>
    </row>
    <row r="10" spans="1:4" x14ac:dyDescent="0.2">
      <c r="A10" s="15"/>
      <c r="B10" s="15" t="s">
        <v>95</v>
      </c>
      <c r="C10" s="16">
        <v>90000</v>
      </c>
      <c r="D10" s="16">
        <v>0</v>
      </c>
    </row>
    <row r="11" spans="1:4" x14ac:dyDescent="0.2">
      <c r="A11" s="15"/>
      <c r="B11" s="15" t="s">
        <v>97</v>
      </c>
      <c r="C11" s="16">
        <v>544000</v>
      </c>
      <c r="D11" s="16">
        <v>0</v>
      </c>
    </row>
    <row r="12" spans="1:4" x14ac:dyDescent="0.2">
      <c r="A12" s="13" t="s">
        <v>184</v>
      </c>
      <c r="B12" s="13"/>
      <c r="C12" s="14"/>
      <c r="D12" s="14"/>
    </row>
    <row r="13" spans="1:4" x14ac:dyDescent="0.2">
      <c r="A13" s="15"/>
      <c r="B13" s="15" t="s">
        <v>115</v>
      </c>
      <c r="C13" s="16">
        <v>47900</v>
      </c>
      <c r="D13" s="16">
        <v>0</v>
      </c>
    </row>
    <row r="14" spans="1:4" x14ac:dyDescent="0.2">
      <c r="A14" s="15"/>
      <c r="B14" s="15" t="s">
        <v>134</v>
      </c>
      <c r="C14" s="16">
        <v>3200</v>
      </c>
      <c r="D14" s="16">
        <v>0</v>
      </c>
    </row>
    <row r="15" spans="1:4" x14ac:dyDescent="0.2">
      <c r="A15" s="15"/>
      <c r="B15" s="15" t="s">
        <v>140</v>
      </c>
      <c r="C15" s="16">
        <v>0</v>
      </c>
      <c r="D15" s="16">
        <v>3200</v>
      </c>
    </row>
    <row r="16" spans="1:4" x14ac:dyDescent="0.2">
      <c r="A16" s="15"/>
      <c r="B16" s="15" t="s">
        <v>167</v>
      </c>
      <c r="C16" s="16">
        <v>0</v>
      </c>
      <c r="D16" s="16">
        <v>104800</v>
      </c>
    </row>
    <row r="17" spans="1:4" x14ac:dyDescent="0.2">
      <c r="A17" s="15"/>
      <c r="B17" s="15" t="s">
        <v>122</v>
      </c>
      <c r="C17" s="16">
        <v>264</v>
      </c>
      <c r="D17" s="16">
        <v>0</v>
      </c>
    </row>
    <row r="18" spans="1:4" x14ac:dyDescent="0.2">
      <c r="A18" s="15"/>
      <c r="B18" s="15" t="s">
        <v>118</v>
      </c>
      <c r="C18" s="16">
        <v>1200</v>
      </c>
      <c r="D18" s="16">
        <v>0</v>
      </c>
    </row>
    <row r="19" spans="1:4" x14ac:dyDescent="0.2">
      <c r="A19" s="13" t="s">
        <v>185</v>
      </c>
      <c r="B19" s="13"/>
      <c r="C19" s="14"/>
      <c r="D19" s="14"/>
    </row>
    <row r="20" spans="1:4" x14ac:dyDescent="0.2">
      <c r="A20" s="15"/>
      <c r="B20" s="15" t="s">
        <v>125</v>
      </c>
      <c r="C20" s="16">
        <v>0</v>
      </c>
      <c r="D20" s="16">
        <v>22650</v>
      </c>
    </row>
    <row r="21" spans="1:4" x14ac:dyDescent="0.2">
      <c r="A21" s="13" t="s">
        <v>186</v>
      </c>
      <c r="B21" s="13"/>
      <c r="C21" s="14"/>
      <c r="D21" s="14"/>
    </row>
    <row r="22" spans="1:4" x14ac:dyDescent="0.2">
      <c r="A22" s="15"/>
      <c r="B22" s="15" t="s">
        <v>99</v>
      </c>
      <c r="C22" s="16">
        <v>0</v>
      </c>
      <c r="D22" s="16">
        <v>900000</v>
      </c>
    </row>
    <row r="23" spans="1:4" x14ac:dyDescent="0.2">
      <c r="A23" s="13" t="s">
        <v>187</v>
      </c>
      <c r="B23" s="13"/>
      <c r="C23" s="14"/>
      <c r="D23" s="14"/>
    </row>
    <row r="24" spans="1:4" x14ac:dyDescent="0.2">
      <c r="A24" s="13" t="s">
        <v>188</v>
      </c>
      <c r="B24" s="13"/>
      <c r="C24" s="14"/>
      <c r="D24" s="14"/>
    </row>
    <row r="25" spans="1:4" x14ac:dyDescent="0.2">
      <c r="A25" s="15"/>
      <c r="B25" s="15" t="s">
        <v>165</v>
      </c>
      <c r="C25" s="16">
        <v>0</v>
      </c>
      <c r="D25" s="16">
        <v>35000</v>
      </c>
    </row>
    <row r="26" spans="1:4" x14ac:dyDescent="0.2">
      <c r="A26" s="15"/>
      <c r="B26" s="15" t="s">
        <v>166</v>
      </c>
      <c r="C26" s="16">
        <v>0</v>
      </c>
      <c r="D26" s="16">
        <v>12000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8"/>
  <sheetViews>
    <sheetView workbookViewId="0">
      <pane ySplit="3" topLeftCell="A4" activePane="bottomLeft" state="frozen"/>
      <selection pane="bottomLeft" sqref="A1:B1"/>
    </sheetView>
  </sheetViews>
  <sheetFormatPr baseColWidth="10" defaultColWidth="8.83203125" defaultRowHeight="15" x14ac:dyDescent="0.2"/>
  <cols>
    <col min="1" max="1" width="44" customWidth="1"/>
    <col min="2" max="2" width="22" customWidth="1"/>
  </cols>
  <sheetData>
    <row r="1" spans="1:2" ht="21" x14ac:dyDescent="0.25">
      <c r="A1" s="43" t="s">
        <v>189</v>
      </c>
      <c r="B1" s="42"/>
    </row>
    <row r="2" spans="1:2" ht="16" x14ac:dyDescent="0.2">
      <c r="A2" s="41" t="s">
        <v>190</v>
      </c>
      <c r="B2" s="42"/>
    </row>
    <row r="3" spans="1:2" x14ac:dyDescent="0.2">
      <c r="A3" s="17" t="s">
        <v>191</v>
      </c>
      <c r="B3" s="18" t="s">
        <v>192</v>
      </c>
    </row>
    <row r="4" spans="1:2" x14ac:dyDescent="0.2">
      <c r="A4" s="40" t="s">
        <v>49</v>
      </c>
      <c r="B4" s="39"/>
    </row>
    <row r="5" spans="1:2" x14ac:dyDescent="0.2">
      <c r="A5" s="19" t="s">
        <v>193</v>
      </c>
      <c r="B5" s="20">
        <v>104800</v>
      </c>
    </row>
    <row r="6" spans="1:2" x14ac:dyDescent="0.2">
      <c r="A6" s="19" t="s">
        <v>194</v>
      </c>
      <c r="B6" s="20">
        <v>-1200</v>
      </c>
    </row>
    <row r="7" spans="1:2" x14ac:dyDescent="0.2">
      <c r="A7" s="19" t="s">
        <v>195</v>
      </c>
      <c r="B7" s="20">
        <v>-264</v>
      </c>
    </row>
    <row r="8" spans="1:2" x14ac:dyDescent="0.2">
      <c r="A8" s="21" t="s">
        <v>196</v>
      </c>
      <c r="B8" s="22">
        <v>103336</v>
      </c>
    </row>
    <row r="10" spans="1:2" x14ac:dyDescent="0.2">
      <c r="A10" s="40" t="s">
        <v>197</v>
      </c>
      <c r="B10" s="39"/>
    </row>
    <row r="11" spans="1:2" x14ac:dyDescent="0.2">
      <c r="A11" s="19" t="s">
        <v>198</v>
      </c>
      <c r="B11" s="20">
        <v>47900</v>
      </c>
    </row>
    <row r="12" spans="1:2" x14ac:dyDescent="0.2">
      <c r="A12" s="19" t="s">
        <v>199</v>
      </c>
      <c r="B12" s="20">
        <v>3200</v>
      </c>
    </row>
    <row r="13" spans="1:2" x14ac:dyDescent="0.2">
      <c r="A13" s="21" t="s">
        <v>200</v>
      </c>
      <c r="B13" s="22">
        <v>51100</v>
      </c>
    </row>
    <row r="15" spans="1:2" x14ac:dyDescent="0.2">
      <c r="A15" s="40" t="s">
        <v>201</v>
      </c>
      <c r="B15" s="39"/>
    </row>
    <row r="16" spans="1:2" x14ac:dyDescent="0.2">
      <c r="A16" s="19" t="s">
        <v>202</v>
      </c>
      <c r="B16" s="20">
        <v>3200</v>
      </c>
    </row>
    <row r="18" spans="1:2" ht="16" x14ac:dyDescent="0.2">
      <c r="A18" s="23" t="s">
        <v>203</v>
      </c>
      <c r="B18" s="24">
        <v>55436</v>
      </c>
    </row>
  </sheetData>
  <mergeCells count="5">
    <mergeCell ref="A4:B4"/>
    <mergeCell ref="A2:B2"/>
    <mergeCell ref="A15:B15"/>
    <mergeCell ref="A10:B10"/>
    <mergeCell ref="A1:B1"/>
  </mergeCells>
  <pageMargins left="0.75" right="0.75" top="1" bottom="1" header="0.5" footer="0.5"/>
  <pageSetup fitToHeight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8"/>
  <sheetViews>
    <sheetView workbookViewId="0">
      <pane ySplit="4" topLeftCell="A5" activePane="bottomLeft" state="frozen"/>
      <selection pane="bottomLeft" sqref="A1:B1"/>
    </sheetView>
  </sheetViews>
  <sheetFormatPr baseColWidth="10" defaultColWidth="8.83203125" defaultRowHeight="15" x14ac:dyDescent="0.2"/>
  <cols>
    <col min="1" max="1" width="44" customWidth="1"/>
    <col min="2" max="2" width="22" customWidth="1"/>
  </cols>
  <sheetData>
    <row r="1" spans="1:2" ht="19" x14ac:dyDescent="0.25">
      <c r="A1" s="45" t="s">
        <v>204</v>
      </c>
      <c r="B1" s="42"/>
    </row>
    <row r="2" spans="1:2" x14ac:dyDescent="0.2">
      <c r="A2" s="44" t="s">
        <v>190</v>
      </c>
      <c r="B2" s="42"/>
    </row>
    <row r="4" spans="1:2" x14ac:dyDescent="0.2">
      <c r="A4" s="25" t="s">
        <v>191</v>
      </c>
      <c r="B4" s="26" t="s">
        <v>192</v>
      </c>
    </row>
    <row r="5" spans="1:2" x14ac:dyDescent="0.2">
      <c r="A5" s="6" t="s">
        <v>205</v>
      </c>
      <c r="B5" s="7">
        <v>12000</v>
      </c>
    </row>
    <row r="6" spans="1:2" x14ac:dyDescent="0.2">
      <c r="A6" s="6" t="s">
        <v>206</v>
      </c>
      <c r="B6" s="7">
        <v>55436</v>
      </c>
    </row>
    <row r="7" spans="1:2" x14ac:dyDescent="0.2">
      <c r="A7" s="6" t="s">
        <v>207</v>
      </c>
      <c r="B7" s="7">
        <v>0</v>
      </c>
    </row>
    <row r="8" spans="1:2" x14ac:dyDescent="0.2">
      <c r="A8" s="8" t="s">
        <v>208</v>
      </c>
      <c r="B8" s="9">
        <v>67436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40"/>
  <sheetViews>
    <sheetView workbookViewId="0">
      <pane ySplit="3" topLeftCell="A13" activePane="bottomLeft" state="frozen"/>
      <selection pane="bottomLeft" activeCell="F39" sqref="F39"/>
    </sheetView>
  </sheetViews>
  <sheetFormatPr baseColWidth="10" defaultColWidth="8.83203125" defaultRowHeight="15" x14ac:dyDescent="0.2"/>
  <cols>
    <col min="1" max="1" width="44" customWidth="1"/>
    <col min="2" max="2" width="22" customWidth="1"/>
  </cols>
  <sheetData>
    <row r="1" spans="1:2" ht="21" x14ac:dyDescent="0.25">
      <c r="A1" s="43" t="s">
        <v>209</v>
      </c>
      <c r="B1" s="42"/>
    </row>
    <row r="2" spans="1:2" ht="16" x14ac:dyDescent="0.2">
      <c r="A2" s="41" t="s">
        <v>210</v>
      </c>
      <c r="B2" s="42"/>
    </row>
    <row r="3" spans="1:2" x14ac:dyDescent="0.2">
      <c r="A3" s="17" t="s">
        <v>90</v>
      </c>
      <c r="B3" s="18" t="s">
        <v>192</v>
      </c>
    </row>
    <row r="4" spans="1:2" x14ac:dyDescent="0.2">
      <c r="A4" s="46" t="s">
        <v>211</v>
      </c>
      <c r="B4" s="39"/>
    </row>
    <row r="5" spans="1:2" x14ac:dyDescent="0.2">
      <c r="A5" s="46" t="s">
        <v>212</v>
      </c>
      <c r="B5" s="39"/>
    </row>
    <row r="6" spans="1:2" x14ac:dyDescent="0.2">
      <c r="A6" s="27" t="s">
        <v>213</v>
      </c>
      <c r="B6" s="28">
        <v>58536</v>
      </c>
    </row>
    <row r="7" spans="1:2" x14ac:dyDescent="0.2">
      <c r="A7" s="27" t="s">
        <v>214</v>
      </c>
      <c r="B7" s="28">
        <v>27600</v>
      </c>
    </row>
    <row r="8" spans="1:2" x14ac:dyDescent="0.2">
      <c r="A8" s="27" t="s">
        <v>215</v>
      </c>
      <c r="B8" s="28">
        <v>-400</v>
      </c>
    </row>
    <row r="9" spans="1:2" x14ac:dyDescent="0.2">
      <c r="A9" s="27" t="s">
        <v>216</v>
      </c>
      <c r="B9" s="28">
        <v>12350</v>
      </c>
    </row>
    <row r="10" spans="1:2" x14ac:dyDescent="0.2">
      <c r="A10" s="27" t="s">
        <v>217</v>
      </c>
      <c r="B10" s="28">
        <v>3000</v>
      </c>
    </row>
    <row r="11" spans="1:2" x14ac:dyDescent="0.2">
      <c r="A11" s="8" t="s">
        <v>218</v>
      </c>
      <c r="B11" s="22">
        <v>101086</v>
      </c>
    </row>
    <row r="13" spans="1:2" x14ac:dyDescent="0.2">
      <c r="A13" s="46" t="s">
        <v>219</v>
      </c>
      <c r="B13" s="39"/>
    </row>
    <row r="14" spans="1:2" x14ac:dyDescent="0.2">
      <c r="A14" s="27" t="s">
        <v>220</v>
      </c>
      <c r="B14" s="28">
        <v>90000</v>
      </c>
    </row>
    <row r="15" spans="1:2" x14ac:dyDescent="0.2">
      <c r="A15" s="27" t="s">
        <v>221</v>
      </c>
      <c r="B15" s="28">
        <v>544000</v>
      </c>
    </row>
    <row r="16" spans="1:2" x14ac:dyDescent="0.2">
      <c r="A16" s="27" t="s">
        <v>222</v>
      </c>
      <c r="B16" s="28">
        <v>290000</v>
      </c>
    </row>
    <row r="17" spans="1:2" x14ac:dyDescent="0.2">
      <c r="A17" s="8" t="s">
        <v>223</v>
      </c>
      <c r="B17" s="22">
        <v>924000</v>
      </c>
    </row>
    <row r="19" spans="1:2" x14ac:dyDescent="0.2">
      <c r="A19" s="8" t="s">
        <v>224</v>
      </c>
      <c r="B19" s="29">
        <v>1025086</v>
      </c>
    </row>
    <row r="22" spans="1:2" x14ac:dyDescent="0.2">
      <c r="A22" s="46" t="s">
        <v>225</v>
      </c>
      <c r="B22" s="39"/>
    </row>
    <row r="23" spans="1:2" x14ac:dyDescent="0.2">
      <c r="A23" s="46" t="s">
        <v>226</v>
      </c>
      <c r="B23" s="39"/>
    </row>
    <row r="24" spans="1:2" x14ac:dyDescent="0.2">
      <c r="A24" s="46" t="s">
        <v>227</v>
      </c>
      <c r="B24" s="39"/>
    </row>
    <row r="25" spans="1:2" x14ac:dyDescent="0.2">
      <c r="A25" s="27" t="s">
        <v>228</v>
      </c>
      <c r="B25" s="28">
        <v>22650</v>
      </c>
    </row>
    <row r="26" spans="1:2" x14ac:dyDescent="0.2">
      <c r="A26" s="8" t="s">
        <v>229</v>
      </c>
      <c r="B26" s="22">
        <v>22650</v>
      </c>
    </row>
    <row r="28" spans="1:2" x14ac:dyDescent="0.2">
      <c r="A28" s="46" t="s">
        <v>230</v>
      </c>
      <c r="B28" s="39"/>
    </row>
    <row r="29" spans="1:2" x14ac:dyDescent="0.2">
      <c r="A29" s="27" t="s">
        <v>231</v>
      </c>
      <c r="B29" s="28">
        <v>900000</v>
      </c>
    </row>
    <row r="30" spans="1:2" x14ac:dyDescent="0.2">
      <c r="A30" s="8" t="s">
        <v>232</v>
      </c>
      <c r="B30" s="22">
        <v>900000</v>
      </c>
    </row>
    <row r="32" spans="1:2" x14ac:dyDescent="0.2">
      <c r="A32" s="8" t="s">
        <v>233</v>
      </c>
      <c r="B32" s="22">
        <v>922650</v>
      </c>
    </row>
    <row r="34" spans="1:2" x14ac:dyDescent="0.2">
      <c r="A34" s="46" t="s">
        <v>188</v>
      </c>
      <c r="B34" s="39"/>
    </row>
    <row r="35" spans="1:2" x14ac:dyDescent="0.2">
      <c r="A35" s="27" t="s">
        <v>234</v>
      </c>
      <c r="B35" s="28">
        <v>35000</v>
      </c>
    </row>
    <row r="36" spans="1:2" x14ac:dyDescent="0.2">
      <c r="A36" s="27" t="s">
        <v>235</v>
      </c>
      <c r="B36" s="28">
        <v>12000</v>
      </c>
    </row>
    <row r="37" spans="1:2" x14ac:dyDescent="0.2">
      <c r="A37" s="27" t="s">
        <v>236</v>
      </c>
      <c r="B37" s="28">
        <v>55436</v>
      </c>
    </row>
    <row r="38" spans="1:2" x14ac:dyDescent="0.2">
      <c r="A38" s="8" t="s">
        <v>237</v>
      </c>
      <c r="B38" s="22">
        <v>102436</v>
      </c>
    </row>
    <row r="40" spans="1:2" x14ac:dyDescent="0.2">
      <c r="A40" s="8" t="s">
        <v>238</v>
      </c>
      <c r="B40" s="29">
        <v>1025086</v>
      </c>
    </row>
  </sheetData>
  <mergeCells count="10">
    <mergeCell ref="A1:B1"/>
    <mergeCell ref="A23:B23"/>
    <mergeCell ref="A22:B22"/>
    <mergeCell ref="A34:B34"/>
    <mergeCell ref="A4:B4"/>
    <mergeCell ref="A24:B24"/>
    <mergeCell ref="A2:B2"/>
    <mergeCell ref="A5:B5"/>
    <mergeCell ref="A28:B28"/>
    <mergeCell ref="A13:B1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4"/>
  <sheetViews>
    <sheetView workbookViewId="0">
      <pane ySplit="1" topLeftCell="A2" activePane="bottomLeft" state="frozen"/>
      <selection pane="bottomLeft" activeCell="D21" sqref="D21"/>
    </sheetView>
  </sheetViews>
  <sheetFormatPr baseColWidth="10" defaultColWidth="8.83203125" defaultRowHeight="15" x14ac:dyDescent="0.2"/>
  <cols>
    <col min="1" max="1" width="40" customWidth="1"/>
    <col min="2" max="3" width="18" customWidth="1"/>
  </cols>
  <sheetData>
    <row r="1" spans="1:3" x14ac:dyDescent="0.2">
      <c r="A1" s="30" t="s">
        <v>90</v>
      </c>
      <c r="B1" s="30" t="s">
        <v>91</v>
      </c>
      <c r="C1" s="30" t="s">
        <v>92</v>
      </c>
    </row>
    <row r="2" spans="1:3" x14ac:dyDescent="0.2">
      <c r="A2" s="15" t="s">
        <v>102</v>
      </c>
      <c r="B2" s="16">
        <v>58536</v>
      </c>
      <c r="C2" s="16">
        <v>0</v>
      </c>
    </row>
    <row r="3" spans="1:3" x14ac:dyDescent="0.2">
      <c r="A3" s="15" t="s">
        <v>111</v>
      </c>
      <c r="B3" s="16">
        <v>27600</v>
      </c>
      <c r="C3" s="16">
        <v>0</v>
      </c>
    </row>
    <row r="4" spans="1:3" x14ac:dyDescent="0.2">
      <c r="A4" s="15" t="s">
        <v>128</v>
      </c>
      <c r="B4" s="16">
        <v>0</v>
      </c>
      <c r="C4" s="16">
        <v>400</v>
      </c>
    </row>
    <row r="5" spans="1:3" x14ac:dyDescent="0.2">
      <c r="A5" s="15" t="s">
        <v>116</v>
      </c>
      <c r="B5" s="16">
        <v>12350</v>
      </c>
      <c r="C5" s="16">
        <v>0</v>
      </c>
    </row>
    <row r="6" spans="1:3" x14ac:dyDescent="0.2">
      <c r="A6" s="15" t="s">
        <v>38</v>
      </c>
      <c r="B6" s="16">
        <v>3000</v>
      </c>
      <c r="C6" s="16">
        <v>0</v>
      </c>
    </row>
    <row r="7" spans="1:3" x14ac:dyDescent="0.2">
      <c r="A7" s="15" t="s">
        <v>95</v>
      </c>
      <c r="B7" s="16">
        <v>90000</v>
      </c>
      <c r="C7" s="16">
        <v>0</v>
      </c>
    </row>
    <row r="8" spans="1:3" x14ac:dyDescent="0.2">
      <c r="A8" s="15" t="s">
        <v>97</v>
      </c>
      <c r="B8" s="16">
        <v>544000</v>
      </c>
      <c r="C8" s="16">
        <v>0</v>
      </c>
    </row>
    <row r="9" spans="1:3" x14ac:dyDescent="0.2">
      <c r="A9" s="15" t="s">
        <v>98</v>
      </c>
      <c r="B9" s="16">
        <v>290000</v>
      </c>
      <c r="C9" s="16">
        <v>0</v>
      </c>
    </row>
    <row r="10" spans="1:3" x14ac:dyDescent="0.2">
      <c r="A10" s="15" t="s">
        <v>99</v>
      </c>
      <c r="B10" s="16">
        <v>0</v>
      </c>
      <c r="C10" s="16">
        <v>900000</v>
      </c>
    </row>
    <row r="11" spans="1:3" x14ac:dyDescent="0.2">
      <c r="A11" s="15" t="s">
        <v>125</v>
      </c>
      <c r="B11" s="16">
        <v>0</v>
      </c>
      <c r="C11" s="16">
        <v>22650</v>
      </c>
    </row>
    <row r="12" spans="1:3" x14ac:dyDescent="0.2">
      <c r="A12" s="15" t="s">
        <v>165</v>
      </c>
      <c r="B12" s="16">
        <v>0</v>
      </c>
      <c r="C12" s="16">
        <v>35000</v>
      </c>
    </row>
    <row r="13" spans="1:3" x14ac:dyDescent="0.2">
      <c r="A13" s="15" t="s">
        <v>166</v>
      </c>
      <c r="B13" s="16">
        <v>0</v>
      </c>
      <c r="C13" s="16">
        <v>12000</v>
      </c>
    </row>
    <row r="14" spans="1:3" x14ac:dyDescent="0.2">
      <c r="A14" s="15" t="s">
        <v>170</v>
      </c>
      <c r="B14" s="16">
        <f>SUM(B2:B13)</f>
        <v>1025486</v>
      </c>
      <c r="C14" s="15">
        <f>SUM(C2:C13)</f>
        <v>970050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39"/>
  <sheetViews>
    <sheetView tabSelected="1" workbookViewId="0">
      <pane ySplit="3" topLeftCell="A17" activePane="bottomLeft" state="frozen"/>
      <selection pane="bottomLeft" activeCell="G38" sqref="G38"/>
    </sheetView>
  </sheetViews>
  <sheetFormatPr baseColWidth="10" defaultColWidth="8.83203125" defaultRowHeight="15" x14ac:dyDescent="0.2"/>
  <cols>
    <col min="1" max="1" width="44" customWidth="1"/>
    <col min="2" max="2" width="22" customWidth="1"/>
  </cols>
  <sheetData>
    <row r="1" spans="1:2" ht="21" x14ac:dyDescent="0.25">
      <c r="A1" s="43" t="s">
        <v>239</v>
      </c>
      <c r="B1" s="42"/>
    </row>
    <row r="2" spans="1:2" ht="16" x14ac:dyDescent="0.2">
      <c r="A2" s="41" t="s">
        <v>240</v>
      </c>
      <c r="B2" s="42"/>
    </row>
    <row r="3" spans="1:2" x14ac:dyDescent="0.2">
      <c r="A3" s="31" t="s">
        <v>90</v>
      </c>
      <c r="B3" s="32" t="s">
        <v>192</v>
      </c>
    </row>
    <row r="4" spans="1:2" x14ac:dyDescent="0.2">
      <c r="A4" s="47" t="s">
        <v>211</v>
      </c>
      <c r="B4" s="48"/>
    </row>
    <row r="5" spans="1:2" x14ac:dyDescent="0.2">
      <c r="A5" s="47" t="s">
        <v>212</v>
      </c>
      <c r="B5" s="48"/>
    </row>
    <row r="6" spans="1:2" x14ac:dyDescent="0.2">
      <c r="A6" s="33" t="s">
        <v>213</v>
      </c>
      <c r="B6" s="34">
        <v>58536</v>
      </c>
    </row>
    <row r="7" spans="1:2" x14ac:dyDescent="0.2">
      <c r="A7" s="33" t="s">
        <v>214</v>
      </c>
      <c r="B7" s="34">
        <v>27600</v>
      </c>
    </row>
    <row r="8" spans="1:2" x14ac:dyDescent="0.2">
      <c r="A8" s="33" t="s">
        <v>215</v>
      </c>
      <c r="B8" s="34">
        <v>-400</v>
      </c>
    </row>
    <row r="9" spans="1:2" x14ac:dyDescent="0.2">
      <c r="A9" s="33" t="s">
        <v>216</v>
      </c>
      <c r="B9" s="34">
        <v>12350</v>
      </c>
    </row>
    <row r="10" spans="1:2" x14ac:dyDescent="0.2">
      <c r="A10" s="33" t="s">
        <v>217</v>
      </c>
      <c r="B10" s="34">
        <v>3000</v>
      </c>
    </row>
    <row r="11" spans="1:2" x14ac:dyDescent="0.2">
      <c r="A11" s="35" t="s">
        <v>218</v>
      </c>
      <c r="B11" s="36">
        <f>SUM(B6:B10)</f>
        <v>101086</v>
      </c>
    </row>
    <row r="13" spans="1:2" x14ac:dyDescent="0.2">
      <c r="A13" s="47" t="s">
        <v>219</v>
      </c>
      <c r="B13" s="48"/>
    </row>
    <row r="14" spans="1:2" x14ac:dyDescent="0.2">
      <c r="A14" s="33" t="s">
        <v>220</v>
      </c>
      <c r="B14" s="34">
        <v>90000</v>
      </c>
    </row>
    <row r="15" spans="1:2" x14ac:dyDescent="0.2">
      <c r="A15" s="33" t="s">
        <v>221</v>
      </c>
      <c r="B15" s="34">
        <v>544000</v>
      </c>
    </row>
    <row r="16" spans="1:2" x14ac:dyDescent="0.2">
      <c r="A16" s="33" t="s">
        <v>222</v>
      </c>
      <c r="B16" s="34">
        <v>290000</v>
      </c>
    </row>
    <row r="17" spans="1:2" x14ac:dyDescent="0.2">
      <c r="A17" s="35" t="s">
        <v>223</v>
      </c>
      <c r="B17" s="36">
        <f>SUM(B14:B16)</f>
        <v>924000</v>
      </c>
    </row>
    <row r="19" spans="1:2" x14ac:dyDescent="0.2">
      <c r="A19" s="35" t="s">
        <v>224</v>
      </c>
      <c r="B19" s="36">
        <v>1025086</v>
      </c>
    </row>
    <row r="22" spans="1:2" x14ac:dyDescent="0.2">
      <c r="A22" s="47" t="s">
        <v>225</v>
      </c>
      <c r="B22" s="48"/>
    </row>
    <row r="23" spans="1:2" x14ac:dyDescent="0.2">
      <c r="A23" s="47" t="s">
        <v>226</v>
      </c>
      <c r="B23" s="48"/>
    </row>
    <row r="24" spans="1:2" x14ac:dyDescent="0.2">
      <c r="A24" s="47" t="s">
        <v>227</v>
      </c>
      <c r="B24" s="48"/>
    </row>
    <row r="25" spans="1:2" x14ac:dyDescent="0.2">
      <c r="A25" s="33" t="s">
        <v>228</v>
      </c>
      <c r="B25" s="34">
        <v>22650</v>
      </c>
    </row>
    <row r="26" spans="1:2" x14ac:dyDescent="0.2">
      <c r="A26" s="35" t="s">
        <v>229</v>
      </c>
      <c r="B26" s="36">
        <f>B25</f>
        <v>22650</v>
      </c>
    </row>
    <row r="28" spans="1:2" x14ac:dyDescent="0.2">
      <c r="A28" s="47" t="s">
        <v>230</v>
      </c>
      <c r="B28" s="48"/>
    </row>
    <row r="29" spans="1:2" x14ac:dyDescent="0.2">
      <c r="A29" s="33" t="s">
        <v>231</v>
      </c>
      <c r="B29" s="34">
        <v>900000</v>
      </c>
    </row>
    <row r="30" spans="1:2" x14ac:dyDescent="0.2">
      <c r="A30" s="35" t="s">
        <v>232</v>
      </c>
      <c r="B30" s="36">
        <v>900000</v>
      </c>
    </row>
    <row r="32" spans="1:2" x14ac:dyDescent="0.2">
      <c r="A32" s="35" t="s">
        <v>233</v>
      </c>
      <c r="B32" s="36">
        <v>922650</v>
      </c>
    </row>
    <row r="34" spans="1:2" x14ac:dyDescent="0.2">
      <c r="A34" s="47" t="s">
        <v>188</v>
      </c>
      <c r="B34" s="48"/>
    </row>
    <row r="35" spans="1:2" x14ac:dyDescent="0.2">
      <c r="A35" s="33" t="s">
        <v>234</v>
      </c>
      <c r="B35" s="34">
        <v>35000</v>
      </c>
    </row>
    <row r="36" spans="1:2" x14ac:dyDescent="0.2">
      <c r="A36" s="33" t="s">
        <v>235</v>
      </c>
      <c r="B36" s="34">
        <v>67436</v>
      </c>
    </row>
    <row r="37" spans="1:2" x14ac:dyDescent="0.2">
      <c r="A37" s="35" t="s">
        <v>237</v>
      </c>
      <c r="B37" s="36">
        <f>SUM(B35:B36)</f>
        <v>102436</v>
      </c>
    </row>
    <row r="39" spans="1:2" x14ac:dyDescent="0.2">
      <c r="A39" s="35" t="s">
        <v>238</v>
      </c>
      <c r="B39" s="36">
        <f>B32+B37</f>
        <v>1025086</v>
      </c>
    </row>
  </sheetData>
  <mergeCells count="10">
    <mergeCell ref="A1:B1"/>
    <mergeCell ref="A23:B23"/>
    <mergeCell ref="A22:B22"/>
    <mergeCell ref="A34:B34"/>
    <mergeCell ref="A4:B4"/>
    <mergeCell ref="A24:B24"/>
    <mergeCell ref="A2:B2"/>
    <mergeCell ref="A28:B28"/>
    <mergeCell ref="A5:B5"/>
    <mergeCell ref="A13:B1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workbookViewId="0">
      <selection activeCell="E18" sqref="E18"/>
    </sheetView>
  </sheetViews>
  <sheetFormatPr baseColWidth="10" defaultColWidth="8.83203125" defaultRowHeight="15" x14ac:dyDescent="0.2"/>
  <cols>
    <col min="1" max="1" width="24.33203125" bestFit="1" customWidth="1"/>
    <col min="2" max="2" width="22" customWidth="1"/>
  </cols>
  <sheetData>
    <row r="1" spans="1:2" ht="19" x14ac:dyDescent="0.25">
      <c r="A1" s="1" t="s">
        <v>241</v>
      </c>
    </row>
    <row r="3" spans="1:2" x14ac:dyDescent="0.2">
      <c r="A3" t="s">
        <v>0</v>
      </c>
      <c r="B3" s="2">
        <v>1082050</v>
      </c>
    </row>
    <row r="4" spans="1:2" x14ac:dyDescent="0.2">
      <c r="A4" t="s">
        <v>1</v>
      </c>
      <c r="B4" s="2">
        <v>1082050</v>
      </c>
    </row>
    <row r="5" spans="1:2" x14ac:dyDescent="0.2">
      <c r="A5" t="s">
        <v>2</v>
      </c>
      <c r="B5" t="b">
        <v>1</v>
      </c>
    </row>
    <row r="7" spans="1:2" x14ac:dyDescent="0.2">
      <c r="A7" t="s">
        <v>3</v>
      </c>
      <c r="B7" s="2">
        <v>1078050</v>
      </c>
    </row>
    <row r="8" spans="1:2" x14ac:dyDescent="0.2">
      <c r="A8" t="s">
        <v>4</v>
      </c>
      <c r="B8" s="2">
        <v>1078050</v>
      </c>
    </row>
    <row r="9" spans="1:2" x14ac:dyDescent="0.2">
      <c r="A9" t="s">
        <v>5</v>
      </c>
      <c r="B9" t="b">
        <v>1</v>
      </c>
    </row>
    <row r="11" spans="1:2" x14ac:dyDescent="0.2">
      <c r="A11" t="s">
        <v>6</v>
      </c>
      <c r="B11" s="2">
        <v>1025086</v>
      </c>
    </row>
    <row r="12" spans="1:2" x14ac:dyDescent="0.2">
      <c r="A12" t="s">
        <v>7</v>
      </c>
      <c r="B12" s="2">
        <v>1025086</v>
      </c>
    </row>
    <row r="13" spans="1:2" x14ac:dyDescent="0.2">
      <c r="A13" t="s">
        <v>8</v>
      </c>
      <c r="B13" t="b">
        <v>1</v>
      </c>
    </row>
    <row r="15" spans="1:2" x14ac:dyDescent="0.2">
      <c r="A15" t="s">
        <v>9</v>
      </c>
      <c r="B1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Transaction Log</vt:lpstr>
      <vt:lpstr>Journal Entries</vt:lpstr>
      <vt:lpstr>T-Accounts (Pre-Adj)</vt:lpstr>
      <vt:lpstr>T-Accounts (Post-Adj)</vt:lpstr>
      <vt:lpstr>Trial Balance (Pre-Adj)</vt:lpstr>
      <vt:lpstr>Trial Balance (Post-Adj)</vt:lpstr>
      <vt:lpstr>Adjusting Entries Summary</vt:lpstr>
      <vt:lpstr>Classified Trial Balance</vt:lpstr>
      <vt:lpstr>Income Statement</vt:lpstr>
      <vt:lpstr>Statement of Retained Earnings</vt:lpstr>
      <vt:lpstr>Classified Balance Sheet</vt:lpstr>
      <vt:lpstr>Post-Closing Trial Balance</vt:lpstr>
      <vt:lpstr>Final Balance Sheet (After Clos</vt:lpstr>
      <vt:lpstr>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Zezhan Dong</cp:lastModifiedBy>
  <dcterms:created xsi:type="dcterms:W3CDTF">2025-12-31T04:16:03Z</dcterms:created>
  <dcterms:modified xsi:type="dcterms:W3CDTF">2026-01-03T00:51:50Z</dcterms:modified>
</cp:coreProperties>
</file>